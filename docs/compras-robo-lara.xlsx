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ompras" sheetId="1" state="visible" r:id="rId3"/>
    <sheet name="Resumo" sheetId="2" state="visible" r:id="rId4"/>
    <sheet name="Alternativas" sheetId="3" state="visible" r:id="rId5"/>
    <sheet name="Lojas" sheetId="4" state="visible" r:id="rId6"/>
    <sheet name="Impressora 3D" sheetId="5" state="visible" r:id="rId7"/>
    <sheet name="A bancada" sheetId="6" state="visible" r:id="rId8"/>
  </sheets>
  <definedNames>
    <definedName function="false" hidden="true" localSheetId="0" name="_xlnm._FilterDatabase" vbProcedure="false">Compras!$A$4:$K$50</definedName>
  </definedName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<sst xmlns="http://schemas.openxmlformats.org/spreadsheetml/2006/main" count="743" uniqueCount="527">
  <si>
    <t xml:space="preserve">MATERIAIS DO ROBÔ DA LARA · v6.0</t>
  </si>
  <si>
    <t xml:space="preserve">Atualizado em 14/09/2026. ⚠️ Correção: os três microfones MEMS I2S e os dois MAX98357A foram comprados para o CAPACETE, não para o robô — a v5.1 contava-os aqui. O robô continua sem ouvidos: uma cápsula MEMS I2S não faz AEC, e isso é processamento, não microfone. Daí o reSpeaker. A coluna tem dois altifalantes de 8 Ω e liga ao reSpeaker. Preços do grupo 3 verificados a 14/09/2026 com loja e referência; o resto continua estimativa antiga e está marcado como tal.</t>
  </si>
  <si>
    <t xml:space="preserve">Grupo</t>
  </si>
  <si>
    <t xml:space="preserve">Etapa</t>
  </si>
  <si>
    <t xml:space="preserve">Peça</t>
  </si>
  <si>
    <t xml:space="preserve">Uso nesta arquitetura</t>
  </si>
  <si>
    <t xml:space="preserve">Onde vive · dimensão crítica</t>
  </si>
  <si>
    <t xml:space="preserve">Qtd</t>
  </si>
  <si>
    <t xml:space="preserve">Preço un.</t>
  </si>
  <si>
    <t xml:space="preserve">Total</t>
  </si>
  <si>
    <t xml:space="preserve">Loja · referência</t>
  </si>
  <si>
    <t xml:space="preserve">Estado</t>
  </si>
  <si>
    <t xml:space="preserve">Próximo passo</t>
  </si>
  <si>
    <t xml:space="preserve">1 · Em casa</t>
  </si>
  <si>
    <t xml:space="preserve">1</t>
  </si>
  <si>
    <t xml:space="preserve">Raspberry Pi 5 · 4 GB</t>
  </si>
  <si>
    <t xml:space="preserve">Corpo, palavra-chave, visão e reconhecimento de pessoas.</t>
  </si>
  <si>
    <t xml:space="preserve">Torso, por baixo · 85×56 mm + cooler</t>
  </si>
  <si>
    <t xml:space="preserve">Em casa</t>
  </si>
  <si>
    <t xml:space="preserve">Confirmado</t>
  </si>
  <si>
    <t xml:space="preserve">Correr vigiar_energia.py com a fonte de 27 W e exigir EXT5V &gt; 4,95 V sob carga.</t>
  </si>
  <si>
    <t xml:space="preserve">mBot2 completo</t>
  </si>
  <si>
    <t xml:space="preserve">Rodas, CyberPi, shield, encoders, giroscópio. Fica inteiro e liga por USB.</t>
  </si>
  <si>
    <t xml:space="preserve">É a base do robô · ~17×13 cm</t>
  </si>
  <si>
    <t xml:space="preserve">Etapa 1: spike_mbot2.py com as rodas no ar. Registar que roda é EM1 e EM2.</t>
  </si>
  <si>
    <t xml:space="preserve">Sensor ultrassónico do mBot2</t>
  </si>
  <si>
    <t xml:space="preserve">Obstáculos em frente. Não vê a parede ao lado (reflexão especular).</t>
  </si>
  <si>
    <t xml:space="preserve">Frente do mBot2</t>
  </si>
  <si>
    <t xml:space="preserve">No mBot2</t>
  </si>
  <si>
    <t xml:space="preserve">Ler distância e fazer com que leitura ausente ou antiga impeça movimento.</t>
  </si>
  <si>
    <t xml:space="preserve">2</t>
  </si>
  <si>
    <t xml:space="preserve">Sensor RGB quádruplo do mBot2</t>
  </si>
  <si>
    <t xml:space="preserve">Quatro canais para linha, cor e hipótese de borda frontal.</t>
  </si>
  <si>
    <t xml:space="preserve">Frente, 5–15 mm do chão</t>
  </si>
  <si>
    <t xml:space="preserve">Testar</t>
  </si>
  <si>
    <t xml:space="preserve">Etapa 2: medir L2/L1/R1/R2 em seis condições. Não é proteção validada contra quedas.</t>
  </si>
  <si>
    <t xml:space="preserve">4</t>
  </si>
  <si>
    <t xml:space="preserve">Câmara para Raspberry Pi</t>
  </si>
  <si>
    <t xml:space="preserve">Captura para YuNet e SFace, tudo no Pi.</t>
  </si>
  <si>
    <t xml:space="preserve">Cabeça, atrás do faceplate</t>
  </si>
  <si>
    <t xml:space="preserve">Confirmar modelo</t>
  </si>
  <si>
    <t xml:space="preserve">Registar modelo e confirmar que tens o cabo CSI 22→15 pinos — sem ele o Pi 5 não vê a câmara.</t>
  </si>
  <si>
    <t xml:space="preserve">Cartão microSD 64 GB</t>
  </si>
  <si>
    <t xml:space="preserve">Sistema, código e assinaturas de rosto.</t>
  </si>
  <si>
    <t xml:space="preserve">No Pi</t>
  </si>
  <si>
    <t xml:space="preserve">Verificar o cartão: houve bus error no import cv2 depois dos cortes de corrente.</t>
  </si>
  <si>
    <t xml:space="preserve">Dissipador ativo do Pi</t>
  </si>
  <si>
    <t xml:space="preserve">Arrefecimento durante visão contínua.</t>
  </si>
  <si>
    <t xml:space="preserve">Por cima do Pi · +10 mm de altura</t>
  </si>
  <si>
    <t xml:space="preserve">Medido 45–62 °C — não era térmico o problema da fase 9.</t>
  </si>
  <si>
    <t xml:space="preserve">Fonte de 5 V / 3 A</t>
  </si>
  <si>
    <t xml:space="preserve">Só ensaios leves.</t>
  </si>
  <si>
    <t xml:space="preserve">Bancada</t>
  </si>
  <si>
    <t xml:space="preserve">Uso limitado</t>
  </si>
  <si>
    <t xml:space="preserve">Não ligar Pi, áudio e ecrã juntos a esta fonte.</t>
  </si>
  <si>
    <t xml:space="preserve">3</t>
  </si>
  <si>
    <t xml:space="preserve">ESP32 antigo com Micro-USB</t>
  </si>
  <si>
    <t xml:space="preserve">Controlador da cara se o HUB75 ganhar. De cerca de 2017.</t>
  </si>
  <si>
    <t xml:space="preserve">Torso, perto do painel</t>
  </si>
  <si>
    <t xml:space="preserve">Por identificar</t>
  </si>
  <si>
    <t xml:space="preserve">Fotografar as marcações dos dois lados, compilar o firmware e responder ao ping série SEM painel ligado.</t>
  </si>
  <si>
    <t xml:space="preserve">-</t>
  </si>
  <si>
    <t xml:space="preserve">Adafruit Feather RP2040 CAN Bus</t>
  </si>
  <si>
    <t xml:space="preserve">Reserva. Não integrar sem uma necessidade medida.</t>
  </si>
  <si>
    <t xml:space="preserve">Gaveta</t>
  </si>
  <si>
    <t xml:space="preserve">Guardar</t>
  </si>
  <si>
    <t xml:space="preserve">Fica para a lição de CAN da v2.</t>
  </si>
  <si>
    <t xml:space="preserve">Adafruit Feather M4 CAN Express</t>
  </si>
  <si>
    <t xml:space="preserve">6</t>
  </si>
  <si>
    <t xml:space="preserve">mac mini</t>
  </si>
  <si>
    <t xml:space="preserve">Transcrição, LLM e síntese de voz. Não recebe imagens nem rostos.</t>
  </si>
  <si>
    <t xml:space="preserve">Fora do robô, na LAN</t>
  </si>
  <si>
    <t xml:space="preserve">Ollama a ouvir em 0.0.0.0 e testado de outro computador.</t>
  </si>
  <si>
    <t xml:space="preserve">5</t>
  </si>
  <si>
    <t xml:space="preserve">Ferro de soldar e materiais</t>
  </si>
  <si>
    <t xml:space="preserve">Montagem depois de praticar em placa descartável.</t>
  </si>
  <si>
    <t xml:space="preserve">Recebido</t>
  </si>
  <si>
    <t xml:space="preserve">Praticar ~100 juntas no kit antes de tocar em qualquer placa do robô.</t>
  </si>
  <si>
    <t xml:space="preserve">7 · Comprado para os dois projetos</t>
  </si>
  <si>
    <t xml:space="preserve">3× microfone MEMS I2S (Amazon.es B0GLXLX2HS, pack de 3)</t>
  </si>
  <si>
    <t xml:space="preserve">Comprados para o voice changer do capacete, não para o robô. São cápsulas MEMS I2S: entregam amostras em bruto, não fazem AEC. No Pi 5 o I2S passou para o RP1 e há problemas abertos.</t>
  </si>
  <si>
    <t xml:space="preserve">Um no queixo do capacete · módulo pequeno</t>
  </si>
  <si>
    <t xml:space="preserve">Amazon.es B0GLXLX2HS</t>
  </si>
  <si>
    <t xml:space="preserve">Do capacete · não serve ao robô</t>
  </si>
  <si>
    <t xml:space="preserve">Confirmar o chip na etiqueta (o pack de 3 mais comum é INMP441). ⚠ O pino L/R NUNCA fica ao ar — foi a causa de todo o ruído na bancada. Sobram dois: um serve o capacete do Vader, o outro fica de reserva.</t>
  </si>
  <si>
    <t xml:space="preserve">2× MAX98357A I2S de 3 W</t>
  </si>
  <si>
    <t xml:space="preserve">Também do capacete (pack GERUI de 2). No robô não entram: com o reSpeaker, é ele que toca a coluna, e um amplificador a tocar ao lado deixava-o sem sinal de referência.</t>
  </si>
  <si>
    <t xml:space="preserve">Um atrás da grelha da boca do capacete</t>
  </si>
  <si>
    <t xml:space="preserve">Amazon.es · pack de 2</t>
  </si>
  <si>
    <t xml:space="preserve">Do capacete · 1 na bancada, 1 de reserva</t>
  </si>
  <si>
    <t xml:space="preserve">Não comprar mais nenhum: o que sobra chega para o capacete do Vader. Ganho ao ar = 9 dB; a Vin = 6 dB. Saída em ponte: nenhum borne vai ao GND.</t>
  </si>
  <si>
    <t xml:space="preserve">2 · Recebido para o robô</t>
  </si>
  <si>
    <t xml:space="preserve">Fonte USB-C de 27 W (5,1 V / 5 A)</t>
  </si>
  <si>
    <t xml:space="preserve">Alimentação principal do Pi na bancada. Resolve a subtensão de 4,758 V.</t>
  </si>
  <si>
    <t xml:space="preserve">Bancada · cabo cativo</t>
  </si>
  <si>
    <t xml:space="preserve">Por testar</t>
  </si>
  <si>
    <t xml:space="preserve">vigiar_energia.py --forcar 90. Abaixo de 4,80 V a fonte não chega; acima de 4,95 V está firme.</t>
  </si>
  <si>
    <t xml:space="preserve">Coluna de 3 W · 2 altifalantes 8 Ω</t>
  </si>
  <si>
    <t xml:space="preserve">TESTADO: tem dois altifalantes de 8 Ω. Liga ao reSpeaker, não ao Pi.</t>
  </si>
  <si>
    <t xml:space="preserve">Torso, atrás de uma grelha · ~70×30×16 mm</t>
  </si>
  <si>
    <t xml:space="preserve">Testado · confirmar ficha</t>
  </si>
  <si>
    <t xml:space="preserve">Ver que ficha traz: o reSpeaker tem JST-PH 2.0 amplificada E jack de 3,5 mm estéreo. Uma das duas serve sem comprar nada.</t>
  </si>
  <si>
    <t xml:space="preserve">Pente vertical 40 pinos 2,54 mm</t>
  </si>
  <si>
    <t xml:space="preserve">Conector de protótipo.</t>
  </si>
  <si>
    <t xml:space="preserve">Por usar</t>
  </si>
  <si>
    <t xml:space="preserve">Soldar só depois de confirmar orientação e pinagem.</t>
  </si>
  <si>
    <t xml:space="preserve">Breadboard de 400 pontos</t>
  </si>
  <si>
    <t xml:space="preserve">Ensaios de baixa tensão.</t>
  </si>
  <si>
    <t xml:space="preserve">Nunca em trajetos de corrente elevada.</t>
  </si>
  <si>
    <t xml:space="preserve">Flat cable M/M 40 pinos 20 cm</t>
  </si>
  <si>
    <t xml:space="preserve">Ligações de sinal.</t>
  </si>
  <si>
    <t xml:space="preserve">Verificar continuidade e desenhar a pinagem antes.</t>
  </si>
  <si>
    <t xml:space="preserve">Botão de pressão preto 28 mm</t>
  </si>
  <si>
    <t xml:space="preserve">Candidato a comando local.</t>
  </si>
  <si>
    <t xml:space="preserve">⚠ 65 mm de profundidade — pode não caber no corpo</t>
  </si>
  <si>
    <t xml:space="preserve">Contactos por medir</t>
  </si>
  <si>
    <t xml:space="preserve">Medir com o multímetro: NA/NF e valores nominais. Um botão lógico NÃO corta potência.</t>
  </si>
  <si>
    <t xml:space="preserve">Interruptor rocker preto 20 mm</t>
  </si>
  <si>
    <t xml:space="preserve">Candidato a corte físico de um circuito.</t>
  </si>
  <si>
    <t xml:space="preserve">Furo de 20 mm no corpo</t>
  </si>
  <si>
    <t xml:space="preserve">Confirmar corrente e tensão nominais antes de o pôr no caminho de alimentação.</t>
  </si>
  <si>
    <t xml:space="preserve">3 · COMPRAR AGORA</t>
  </si>
  <si>
    <t xml:space="preserve">reSpeaker Mic Array v2.0 · 4 microfones (XMOS XVF-3000)</t>
  </si>
  <si>
    <t xml:space="preserve">AEC em hardware, beamforming e deteção de direção, e placa de som USB. DECIDIDO 15/09 em vez do Lite, porque a Botland é mesmo só B2B. ⚠ A saída é ANALÓGICA (jack 3,5 mm, codec WM8960) — não liga ao MAX98357A, que só aceita I2S digital.</t>
  </si>
  <si>
    <t xml:space="preserve">Torso · placa da Seeed · confirmar espaço no cartão</t>
  </si>
  <si>
    <t xml:space="preserve">Mauser 096-8389 · 4 em stock</t>
  </si>
  <si>
    <t xml:space="preserve">Decidido · em falta</t>
  </si>
  <si>
    <t xml:space="preserve">NÃO dessoldar o jack: cortar um cabo jack-macho de €2 e soldar aí, que é reversível e não arrisca as pistas de uma placa de €55. Primeiro experimentar o jack direto na coluna — se der volume que chegue, não é preciso amplificador nenhum.</t>
  </si>
  <si>
    <t xml:space="preserve">Amplificador analógico PAM8403 (Whadda WPI411)</t>
  </si>
  <si>
    <t xml:space="preserve">Entre o jack do reSpeaker e a coluna passiva. Estéreo 2×3 W, 4–8 Ω: um só módulo toca os DOIS altifalantes de 8 Ω.</t>
  </si>
  <si>
    <t xml:space="preserve">Torso, junto da coluna · alimenta-se a 5 V</t>
  </si>
  <si>
    <t xml:space="preserve">Mauser 047-3485 · 14 em stock</t>
  </si>
  <si>
    <t xml:space="preserve">Só é preciso se o jack sozinho não der volume — mas a €7,65 e na MESMA encomenda, é mais barato tê-lo do que fazer um segundo envio por causa dele.</t>
  </si>
  <si>
    <t xml:space="preserve">4 · Bloqueado numa medição</t>
  </si>
  <si>
    <t xml:space="preserve">reSpeaker XVF3800 (4 mics) — upgrade</t>
  </si>
  <si>
    <t xml:space="preserve">Só acrescenta beamforming e deteção de direção ao que o Lite já faz. O AEC é igual nos dois.</t>
  </si>
  <si>
    <t xml:space="preserve">Torso · 108×108×18 mm</t>
  </si>
  <si>
    <t xml:space="preserve">Sem loja que envie p/ PT</t>
  </si>
  <si>
    <t xml:space="preserve">Só se fizer falta</t>
  </si>
  <si>
    <t xml:space="preserve">Reabrir apenas se a deteção de direção (virar-se para quem fala) se mostrar necessária. A câmara já diz onde está a pessoa.</t>
  </si>
  <si>
    <t xml:space="preserve">7</t>
  </si>
  <si>
    <t xml:space="preserve">Painel HUB75 RGB 64×32 · pitch 2,5 mm</t>
  </si>
  <si>
    <t xml:space="preserve">A cara. O firmware, o protocolo série e as 19 expressões já existem.</t>
  </si>
  <si>
    <t xml:space="preserve">⚠ Cabeça · 160×80×14 mm — o pitch de 4 mm daria 256×128 mm e NÃO cabe</t>
  </si>
  <si>
    <t xml:space="preserve">DigiKey PT 1528-5036-ND · 145 stock</t>
  </si>
  <si>
    <t xml:space="preserve">Mudou da BerryBase (€44,90, 1 em stock) para a DigiKey: €2,43 mais caro e 145 em stock, mas entra na MESMA encomenda do reSpeaker e é ela que empurra o total acima dos €75. A ficha confirma 160,00 × 80,00 × 14,70 mm.</t>
  </si>
  <si>
    <t xml:space="preserve">Cablagem HUB75 ↔ ESP32 + cabo de alimentação do painel</t>
  </si>
  <si>
    <t xml:space="preserve">Liga o painel ao ESP32, e alimenta o painel a 5 V — o cabo de força não vem com ele.</t>
  </si>
  <si>
    <t xml:space="preserve">Torso</t>
  </si>
  <si>
    <t xml:space="preserve">DigiKey 1528-4767 (€2,63) + estimativa</t>
  </si>
  <si>
    <t xml:space="preserve">Estimativa</t>
  </si>
  <si>
    <t xml:space="preserve">O cabo de alimentação do painel é a ref. Adafruit 4767, €2,14 s/IVA. O resto (fios, protoboard) continua estimativa.</t>
  </si>
  <si>
    <t xml:space="preserve">Acrílico preto de difusão 2–3 mm (~170×90 mm)</t>
  </si>
  <si>
    <t xml:space="preserve">Sem ele vêem-se 2048 LEDs numa placa; com ele, dois olhos a brilhar num visor escuro. É preciso para QUALQUER ecrã.</t>
  </si>
  <si>
    <t xml:space="preserve">Cabeça, à frente do ecrã</t>
  </si>
  <si>
    <t xml:space="preserve">Estimativa · revalidar</t>
  </si>
  <si>
    <t xml:space="preserve">Comprar JÁ: é a peça que permite fazer o teste do telemóvel e decidir o ecrã sem gastar €109.</t>
  </si>
  <si>
    <t xml:space="preserve">2× sensor ToF VL53L1X (4 m, I2C)</t>
  </si>
  <si>
    <t xml:space="preserve">Ver as paredes DE LADO. O ultrassónico não vê a parede ao lado da qual anda — é a causa dos embates no corredor.</t>
  </si>
  <si>
    <t xml:space="preserve">Cantos dianteiros · módulo pequeno</t>
  </si>
  <si>
    <t xml:space="preserve">Mauser 095-9477 · 31 em stock</t>
  </si>
  <si>
    <t xml:space="preserve">✅ 15/09: MAUSER tem o VL53L1X a €9,99 c/IVA (31 em stock, Freixeira) — bate a Botnroll (€16,95), a DigiKey (€23,59) e a Amazon (€16,89, marca Wakects, 0 críticas, 2 em stock). 5+ unidades a €8,00 cada — vale pensar se queres já cobrir a proteção traseira de bordas. ⚠ Dois no mesmo I2C partilham endereço: sequenciar pelo XSHUT. ⚠ REJEITADO: pack GERUI de 6 na Amazon (B0D3PRSV3B) é VL53L0X, não L1X, com críticas de 1 em 4 a funcionar, e não envia para PT.</t>
  </si>
  <si>
    <t xml:space="preserve">Candidato OLED · Waveshare 5,5" AMOLED HDMI 1080×1920</t>
  </si>
  <si>
    <t xml:space="preserve">O outro lado da comparação da cara. Ganha em preto absoluto, perde em arranque (Chromium em quiosque) e em preço.</t>
  </si>
  <si>
    <t xml:space="preserve">Cabeça · 5,5" · vidro temperado</t>
  </si>
  <si>
    <t xml:space="preserve">Welectron 16103 · ~3 meses</t>
  </si>
  <si>
    <t xml:space="preserve">NÃO comprar ainda</t>
  </si>
  <si>
    <t xml:space="preserve">FAZER PRIMEIRO, e custa €0: põe o bot-face no telemóvel (ecrã OLED) atrás do acrílico, a 2 m, com luz de quarto e luz do dia. Só se o OLED ganhar claramente é que vale €109 e três meses.</t>
  </si>
  <si>
    <t xml:space="preserve">Corte físico de movimento · botão DPST + fusível</t>
  </si>
  <si>
    <t xml:space="preserve">Parar o robô sem rede, sem USB e sem processo Python.</t>
  </si>
  <si>
    <t xml:space="preserve">Traseira do corpo, ao alcance de um adulto</t>
  </si>
  <si>
    <t xml:space="preserve">Por desenhar</t>
  </si>
  <si>
    <t xml:space="preserve">Bloqueado em: medir os contactos do botão de 28 mm e do rocker de 20 mm que já tens. Só comprar se nenhum servir.</t>
  </si>
  <si>
    <t xml:space="preserve">Proteção traseira contra bordas</t>
  </si>
  <si>
    <t xml:space="preserve">O sensor RGB do mBot2 só cobre a frente. Marcha-atrás e rotação perto de quedas continuam proibidas.</t>
  </si>
  <si>
    <t xml:space="preserve">Traseira, virado ao chão</t>
  </si>
  <si>
    <t xml:space="preserve">Por escolher</t>
  </si>
  <si>
    <t xml:space="preserve">Bloqueado</t>
  </si>
  <si>
    <t xml:space="preserve">Bloqueado na etapa 2: medir os quatro canais RGB em seis condições antes de escolher.</t>
  </si>
  <si>
    <t xml:space="preserve">Bateria + carregador + reguladores</t>
  </si>
  <si>
    <t xml:space="preserve">Autonomia fora da bancada.</t>
  </si>
  <si>
    <t xml:space="preserve">Base do corpo, o mais baixo possível (é o contrapeso)</t>
  </si>
  <si>
    <t xml:space="preserve">Por dimensionar</t>
  </si>
  <si>
    <t xml:space="preserve">Bloqueado em medir o consumo. ⚠ Com o mBot2 inteiro o barramento de 7,4 V dos motores provavelmente desaparece (−€35) e há uma pergunta nova: uma bateria só, ou a do mBot2 mais uma para o Pi?</t>
  </si>
  <si>
    <t xml:space="preserve">5 · Depois do conjunto básico</t>
  </si>
  <si>
    <t xml:space="preserve">11</t>
  </si>
  <si>
    <t xml:space="preserve">PCA9685 para os braços</t>
  </si>
  <si>
    <t xml:space="preserve">Controla servos. Não controla as rodas.</t>
  </si>
  <si>
    <t xml:space="preserve">Estimativa antiga</t>
  </si>
  <si>
    <t xml:space="preserve">Adiar</t>
  </si>
  <si>
    <t xml:space="preserve">Pino OE com pull-up: sem isso um kill -9 deixa os servos presos.</t>
  </si>
  <si>
    <t xml:space="preserve">Servos DS3218 para os ombros</t>
  </si>
  <si>
    <t xml:space="preserve">Movimento dos ombros, ~16 kg·cm a 5,7 V.</t>
  </si>
  <si>
    <t xml:space="preserve">Ombros</t>
  </si>
  <si>
    <t xml:space="preserve">Desenhar o braço em cartão primeiro. Barramento de 5,7 V / 6 A, nunca dos 5 V do Pi.</t>
  </si>
  <si>
    <t xml:space="preserve">Servos MG90S para cotovelos e garra</t>
  </si>
  <si>
    <t xml:space="preserve">Movimento leve dos braços.</t>
  </si>
  <si>
    <t xml:space="preserve">Cotovelos e garra</t>
  </si>
  <si>
    <t xml:space="preserve">Validar quantidade e limites antes de comprar.</t>
  </si>
  <si>
    <t xml:space="preserve">Suportes e ferragem dos braços</t>
  </si>
  <si>
    <t xml:space="preserve">Fixação dos servos e das juntas.</t>
  </si>
  <si>
    <t xml:space="preserve">Braços</t>
  </si>
  <si>
    <t xml:space="preserve">Depois do cartão.</t>
  </si>
  <si>
    <t xml:space="preserve">Cartão e materiais de protótipo do corpo</t>
  </si>
  <si>
    <t xml:space="preserve">Descobrir proporções e acesso aos cabos. A coisa mais valiosa da lista toda.</t>
  </si>
  <si>
    <t xml:space="preserve">É o corpo inteiro, em tamanho real</t>
  </si>
  <si>
    <t xml:space="preserve">Fazer já, sem comprar</t>
  </si>
  <si>
    <t xml:space="preserve">Caixas de cereais e fita-cola chegam para começar hoje. Reservar o volume do reSpeaker (108×108) e do painel (160×80).</t>
  </si>
  <si>
    <t xml:space="preserve">Materiais do corpo final</t>
  </si>
  <si>
    <t xml:space="preserve">Estrutura, acabamento e faceplate.</t>
  </si>
  <si>
    <t xml:space="preserve">Corpo</t>
  </si>
  <si>
    <t xml:space="preserve">Por decidir</t>
  </si>
  <si>
    <t xml:space="preserve">Escolher depois do ecrã e do protótipo em cartão.</t>
  </si>
  <si>
    <t xml:space="preserve">Sensores de toque TTP223</t>
  </si>
  <si>
    <t xml:space="preserve">Interações de toque na cabeça e no corpo.</t>
  </si>
  <si>
    <t xml:space="preserve">Cabeça, costas e frente</t>
  </si>
  <si>
    <t xml:space="preserve">Os €6 com melhor relação efeito/preço do projeto — mas só depois da demonstração básica.</t>
  </si>
  <si>
    <t xml:space="preserve">LEDs decorativos e resistências</t>
  </si>
  <si>
    <t xml:space="preserve">Luzes do peito e da base.</t>
  </si>
  <si>
    <t xml:space="preserve">Peito e base</t>
  </si>
  <si>
    <t xml:space="preserve">Nos PCA9685 dos MOTORES (1 kHz), nunca no dos servos.</t>
  </si>
  <si>
    <t xml:space="preserve">Sobressalentes</t>
  </si>
  <si>
    <t xml:space="preserve">Um MG90S extra, fusíveis, cabos.</t>
  </si>
  <si>
    <t xml:space="preserve">Num projeto de 4 meses, esperar uma semana por uma peça de €5 mata o ritmo.</t>
  </si>
  <si>
    <t xml:space="preserve">6 · Não comprar</t>
  </si>
  <si>
    <t xml:space="preserve">TB6612FNG para as rodas</t>
  </si>
  <si>
    <t xml:space="preserve">Duplicaria a ponte de motores do mBot2 Shield.</t>
  </si>
  <si>
    <t xml:space="preserve">—</t>
  </si>
  <si>
    <t xml:space="preserve">Não comprar</t>
  </si>
  <si>
    <t xml:space="preserve">Retirado</t>
  </si>
  <si>
    <t xml:space="preserve">O mBot2 fica inteiro.</t>
  </si>
  <si>
    <t xml:space="preserve">PCA9685 para os motores</t>
  </si>
  <si>
    <t xml:space="preserve">As rodas são comandadas pelo shield por USB.</t>
  </si>
  <si>
    <t xml:space="preserve">Reservar um PCA9685 futuro apenas para os braços.</t>
  </si>
  <si>
    <t xml:space="preserve">HC-SR04P e TCRT5000</t>
  </si>
  <si>
    <t xml:space="preserve">Duplicam o ultrassónico e o RGB do mBot2.</t>
  </si>
  <si>
    <t xml:space="preserve">Reabrir só se as medições mostrarem uma lacuna.</t>
  </si>
  <si>
    <t xml:space="preserve">Segundo MAX98357A</t>
  </si>
  <si>
    <t xml:space="preserve">A coluna liga ao reSpeaker, não ao Pi — nem o primeiro MAX98357A fica no caminho.</t>
  </si>
  <si>
    <t xml:space="preserve">Um amplificador a tocar AO LADO do reSpeaker deixa-o sem referência e mata o AEC.</t>
  </si>
  <si>
    <t xml:space="preserve">Mais microfones MEMS I2S</t>
  </si>
  <si>
    <t xml:space="preserve">Já há três e não é disso que o robô precisa.</t>
  </si>
  <si>
    <t xml:space="preserve">Dois microfones crus sem AEC são o pior dos dois mundos.</t>
  </si>
  <si>
    <t xml:space="preserve">reSpeaker 2/4/6-Mic Pi HAT</t>
  </si>
  <si>
    <t xml:space="preserve">É o que aparece nos tutoriais, mas o driver seed-voicecard não lista o Pi 5.</t>
  </si>
  <si>
    <t xml:space="preserve">Projeto abandonado; issue de compilação aberta desde 2022.</t>
  </si>
  <si>
    <t xml:space="preserve">SUBTOTAL CONHECIDO</t>
  </si>
  <si>
    <t xml:space="preserve">Não é o orçamento final: falta a energia, o corpo final e o ecrã se o OLED ganhar.</t>
  </si>
  <si>
    <t xml:space="preserve">FONTES DOS PREÇOS DO GRUPO 3 (verificados a 14/09/2026)</t>
  </si>
  <si>
    <t xml:space="preserve">reSpeaker XVF3800 — ⚠ nenhuma loja fácil: Gotronic não envia p/ PT · Botland só B2B · Amazon.es B0FKGFXQQ5 €181,66 e «só França e Mónaco» · Kiwi (NL) 20794 €48,99 ex-IVA mas ESGOTADA sem data</t>
  </si>
  <si>
    <t xml:space="preserve">   Em stock hoje: Antratek (NL) €69,00 c/ caixa · https://www.antratek.com/respeaker-usb-mic-array-xvf3800  ·  The Pi Hut (UK) £52,80 c/ IVA britânico · https://thepihut.com/products/respeaker-xmos-xvf3800-ai-powered-4-mic-array-for-clear-voice-even-in-noise</t>
  </si>
  <si>
    <t xml:space="preserve">Painel HUB75 P2.5 64×32 — BerryBase ADA5036, €44,90, 1 em stock, 160×80 mm · https://www.berrybase.de/en/64x32-rgb-led-matrix-2.5mm-raster</t>
  </si>
  <si>
    <t xml:space="preserve">   ⚠ O painel de pitch 4 mm da Botnroll (LCD03024, €28,60) mede 256×128 mm — grande demais para a cabeça.</t>
  </si>
  <si>
    <t xml:space="preserve">VL53L1X — Botnroll SEN03042, €16,95 cada · https://www.botnroll.com/en/infrared/3231-vl53l1x-tof-distance-ranging-sensor-ranging-up-to-4m.html</t>
  </si>
  <si>
    <t xml:space="preserve">OLED candidato — Welectron 16103, €109,00, entrega ~3 meses · https://www.welectron.com/Waveshare-16103-55inch-HDMI-AMOLED_1</t>
  </si>
  <si>
    <t xml:space="preserve">Cablagem, acrílico e tudo o que diz «Estimativa» continuam por revalidar — não encomendar sem confirmar preço, stock e portes.</t>
  </si>
  <si>
    <t xml:space="preserve">ESTADO DOS MATERIAIS · v6.1</t>
  </si>
  <si>
    <t xml:space="preserve">⚠️ Correção de 14/09/2026: os três microfones MEMS I2S e os dois MAX98357A foram comprados para o CAPACETE — a v5.1 contava-os como material do robô. O robô nunca teve ouvidos. E uma cápsula MEMS I2S não resolve isso: o que falta é AEC, que é processamento e não microfone. Daí o reSpeaker. A coluna tem dois altifalantes de 8 Ω e liga ao reSpeaker. A cara continua em comparação, agora com preços reais dos dois lados.</t>
  </si>
  <si>
    <t xml:space="preserve">Quando agir</t>
  </si>
  <si>
    <t xml:space="preserve">Nº de linhas</t>
  </si>
  <si>
    <t xml:space="preserve">Subtotal</t>
  </si>
  <si>
    <t xml:space="preserve">Usar e medir agora</t>
  </si>
  <si>
    <t xml:space="preserve">Testado — falta escrever o inventário</t>
  </si>
  <si>
    <t xml:space="preserve">Decidido e em falta. É isto que desbloqueia o próximo mês</t>
  </si>
  <si>
    <t xml:space="preserve">Não falta dinheiro, falta uma medição</t>
  </si>
  <si>
    <t xml:space="preserve">Adiar até à etapa indicada</t>
  </si>
  <si>
    <t xml:space="preserve">Retirar dos carrinhos</t>
  </si>
  <si>
    <t xml:space="preserve">Comprados a dobrar de propósito, para servirem os dois. No robô não dá — o que lá falta é AEC, não microfones. Ficam no capacete do stormtrooper e no do Vader.</t>
  </si>
  <si>
    <t xml:space="preserve">A COMPRAR AGORA (grupo 3)</t>
  </si>
  <si>
    <t xml:space="preserve">Subtotal conhecido (inclui os €109 do OLED e os €24 do DPST, que podem não ser precisos)</t>
  </si>
  <si>
    <t xml:space="preserve">Se o teste do telemóvel dispensar o OLED, poupa-se</t>
  </si>
  <si>
    <t xml:space="preserve">Orçamento máximo</t>
  </si>
  <si>
    <t xml:space="preserve">Folga face ao orçamento</t>
  </si>
  <si>
    <t xml:space="preserve">ORDEM DE TRABALHO — pela ordem, não à escolha</t>
  </si>
  <si>
    <t xml:space="preserve">1. Escrever o inventário. Testaste as peças mas não ficou registado — docs/componentes.md ainda diz «por identificar», e foi assim que as peças do capacete acabaram a contar como material do robô.</t>
  </si>
  <si>
    <t xml:space="preserve">2. Confirmar na etiqueta que chip são os três microfones (o pack de 3 mais comum é INMP441) e anotá-lo na bancada do capacete.</t>
  </si>
  <si>
    <t xml:space="preserve">3. Medir os contactos do botão de 28 mm e do rocker de 20 mm. É a única coisa que decide se há um DPST a comprar.</t>
  </si>
  <si>
    <t xml:space="preserve">4. Correr vigiar_energia.py --forcar 90 com a fonte de 27 W. Exigir EXT5V &gt; 4,95 V. Desbloqueia a visão E os periféricos USB — o reSpeaker incluído.</t>
  </si>
  <si>
    <t xml:space="preserve">5. Encomendar o grupo 3. O reSpeaker tem 9 unidades em stock na Gotronic e é o que desbloqueia mais etapas.</t>
  </si>
  <si>
    <t xml:space="preserve">6. Ler os encoders do mBot2 na navegação. É software, o hardware já lá está, e corta o erro de 23 cm na origem.</t>
  </si>
  <si>
    <t xml:space="preserve">7. Teste do telemóvel atrás do acrílico, a 2 m, com luz de quarto e luz do dia. Decide os €109 do OLED sem os gastar.</t>
  </si>
  <si>
    <t xml:space="preserve">8. Corpo em cartão, em tamanho real. Reservar 108×108×18 mm para o reSpeaker e 160×80×14 mm para o painel.</t>
  </si>
  <si>
    <t xml:space="preserve">9. Medir o consumo do conjunto antes de escolher bateria e reguladores.</t>
  </si>
  <si>
    <t xml:space="preserve">DECISÕES DE HARDWARE · v6.0</t>
  </si>
  <si>
    <t xml:space="preserve">Atualizado a 14/09/2026 com o resultado do teste dos microfones.</t>
  </si>
  <si>
    <t xml:space="preserve">Item</t>
  </si>
  <si>
    <t xml:space="preserve">Preço</t>
  </si>
  <si>
    <t xml:space="preserve">Categoria</t>
  </si>
  <si>
    <t xml:space="preserve">Veredicto</t>
  </si>
  <si>
    <t xml:space="preserve">Porquê</t>
  </si>
  <si>
    <t xml:space="preserve">mBot2 completo por USB</t>
  </si>
  <si>
    <t xml:space="preserve">Movimento</t>
  </si>
  <si>
    <t xml:space="preserve">ESCOLHIDO</t>
  </si>
  <si>
    <t xml:space="preserve">O POC passou. Conserva motores, encoders, giroscópio, ultrassons e RGB. Medido: drive_speed 61 ms, encoder subscrito ~0 ms.</t>
  </si>
  <si>
    <t xml:space="preserve">Ultrassónico do mBot2</t>
  </si>
  <si>
    <t xml:space="preserve">Obstáculos</t>
  </si>
  <si>
    <t xml:space="preserve">USAR — com um limite</t>
  </si>
  <si>
    <t xml:space="preserve">Serve para a frente. NÃO vê a parede ao lado da qual anda: reflexão especular. É por isso que os VL53L1X entram.</t>
  </si>
  <si>
    <t xml:space="preserve">Quad RGB do mBot2</t>
  </si>
  <si>
    <t xml:space="preserve">Linha, cor e borda</t>
  </si>
  <si>
    <t xml:space="preserve">TESTAR</t>
  </si>
  <si>
    <t xml:space="preserve">Quatro canais, reflexão 0–100. A hipótese da borda é para medir, não para assumir. O fabricante não o vende como proteção contra quedas.</t>
  </si>
  <si>
    <t xml:space="preserve">reSpeaker XVF3800</t>
  </si>
  <si>
    <t xml:space="preserve">Ouvir e falar</t>
  </si>
  <si>
    <t xml:space="preserve">ESCOLHIDO — comprar</t>
  </si>
  <si>
    <t xml:space="preserve">Os três microfones recebidos são MEMS I2S: sem AEC, e o Pi 5 passou o I2S para o RP1. O AEC é um problema MONO e faz-se em hardware ou não se faz. É também a placa de som.</t>
  </si>
  <si>
    <t xml:space="preserve">3× microfone MEMS I2S (do capacete)</t>
  </si>
  <si>
    <t xml:space="preserve">Ouvir</t>
  </si>
  <si>
    <t xml:space="preserve">NÃO SERVE AO ROBÔ</t>
  </si>
  <si>
    <t xml:space="preserve">Foram comprados para o capacete e um deles já lá está a funcionar. Uma cápsula MEMS I2S entrega amostras em bruto: dois microfones crus sem AEC são o pior dos dois mundos. Sobram dois para a bancada e para a Lara.</t>
  </si>
  <si>
    <t xml:space="preserve">MAX98357A no Pi</t>
  </si>
  <si>
    <t xml:space="preserve">Falar</t>
  </si>
  <si>
    <t xml:space="preserve">RETIRADO</t>
  </si>
  <si>
    <t xml:space="preserve">Os dois que há são do capacete. No robô tocaria AO LADO do reSpeaker e deixava-o sem sinal de referência — os €60 do AEC deixavam de servir para nada. A coluna liga ao reSpeaker.</t>
  </si>
  <si>
    <t xml:space="preserve">NÃO COMPRAR</t>
  </si>
  <si>
    <t xml:space="preserve">Nem o primeiro fica no robô. Os dois altifalantes de 8 Ω ligam-se pela saída do reSpeaker.</t>
  </si>
  <si>
    <t xml:space="preserve">reSpeaker Lite (plano B)</t>
  </si>
  <si>
    <t xml:space="preserve">FORA — loja só B2B</t>
  </si>
  <si>
    <t xml:space="preserve">Melhor arquitetura (saída amplificada, dispensava o PAM8403), mas a Botland só vende a empresas e mais nenhuma loja com envio para PT o tem a preço decente.</t>
  </si>
  <si>
    <t xml:space="preserve">HUB75 P2.5 64×32 + ESP32</t>
  </si>
  <si>
    <t xml:space="preserve">Cara</t>
  </si>
  <si>
    <t xml:space="preserve">CANDIDATO A — favorito</t>
  </si>
  <si>
    <t xml:space="preserve">Firmware, protocolo série e 19 expressões já existem. 160×80 mm cabe atrás de um faceplate de 170×90. Animação fora do Pi. Painel €44,90 + cablagem €12.</t>
  </si>
  <si>
    <t xml:space="preserve">HUB75 pitch 4 mm</t>
  </si>
  <si>
    <t xml:space="preserve">REJEITADO</t>
  </si>
  <si>
    <t xml:space="preserve">Mais barato, mas mede 256×128 mm. Não cabe na cabeça. O pitch é a dimensão que decide, não o preço.</t>
  </si>
  <si>
    <t xml:space="preserve">OLED 5,5" AMOLED HDMI</t>
  </si>
  <si>
    <t xml:space="preserve">CANDIDATO B — caro e lento</t>
  </si>
  <si>
    <t xml:space="preserve">Preto absoluto atrás do acrílico é o argumento forte. Contra: €109, ~3 meses de entrega, Chromium em quiosque, arranque mais lento e risco de burn-in.</t>
  </si>
  <si>
    <t xml:space="preserve">Teste do telemóvel atrás do acrílico</t>
  </si>
  <si>
    <t xml:space="preserve">FAZER PRIMEIRO</t>
  </si>
  <si>
    <t xml:space="preserve">O telemóvel É um OLED. Mostra o bot-face atrás do acrílico, a 2 m, com luz de quarto e luz do dia. Responde à pergunta toda por €0.</t>
  </si>
  <si>
    <t xml:space="preserve">GC9A01 / LCD pequeno</t>
  </si>
  <si>
    <t xml:space="preserve">280 nits atrás de acrílico a 18% dão ~50 nits: a luz emitida atravessa 1×, os reflexos 2×. Ilegível.</t>
  </si>
  <si>
    <t xml:space="preserve">HUB75 direto no Pi 5</t>
  </si>
  <si>
    <t xml:space="preserve">PioMatter precisa de 13 pinos e cinco colidem: 17/22/27 precipício, 23 ultrassons, 21 I2S.</t>
  </si>
  <si>
    <t xml:space="preserve">2× VL53L1X nos cantos</t>
  </si>
  <si>
    <t xml:space="preserve">Navegação</t>
  </si>
  <si>
    <t xml:space="preserve">COMPRAR</t>
  </si>
  <si>
    <t xml:space="preserve">Medido: bate com a posição verdadeira a 23 cm da crença, num corredor que só dá ±38 cm de margem. E o ultrassom não vê a parede do lado.</t>
  </si>
  <si>
    <t xml:space="preserve">Ler os encoders na navegação</t>
  </si>
  <si>
    <t xml:space="preserve">Corta o erro na origem e o hardware já lá está. Afinar o piloto antes disto é afinar contra uma margem que não existe.</t>
  </si>
  <si>
    <t xml:space="preserve">Barramento de 7,4 V para motores</t>
  </si>
  <si>
    <t xml:space="preserve">Energia</t>
  </si>
  <si>
    <t xml:space="preserve">PROVAVELMENTE SAI</t>
  </si>
  <si>
    <t xml:space="preserve">Era para motores tirados do mBot2. O mBot2 fica inteiro e tem alimentação própria — poupa ~€35, mas abre a pergunta de quantas baterias há.</t>
  </si>
  <si>
    <t xml:space="preserve">Bateria LiFePO4 4S</t>
  </si>
  <si>
    <t xml:space="preserve">POR DIMENSIONAR</t>
  </si>
  <si>
    <t xml:space="preserve">Química que não liberta oxigénio — a troca certa com uma criança por perto. Mas não se escolhe antes de medir o consumo.</t>
  </si>
  <si>
    <t xml:space="preserve">Power bank USB-C de duas saídas</t>
  </si>
  <si>
    <t xml:space="preserve">NÃO</t>
  </si>
  <si>
    <t xml:space="preserve">Não negoceia 5 V/5 A, e sem esse perfil o Pi limita TODAS as portas USB a 600 mA — o que mata o reSpeaker.</t>
  </si>
  <si>
    <t xml:space="preserve">YuNet e SFace no Pi</t>
  </si>
  <si>
    <t xml:space="preserve">Visão</t>
  </si>
  <si>
    <t xml:space="preserve">Imagens e assinaturas nunca saem do Pi.</t>
  </si>
  <si>
    <t xml:space="preserve">STT, LLM e TTS no mac mini</t>
  </si>
  <si>
    <t xml:space="preserve">Conversa</t>
  </si>
  <si>
    <t xml:space="preserve">Só a palavra-chave e a visão ficam no Pi.</t>
  </si>
  <si>
    <t xml:space="preserve">Acelerador de IA</t>
  </si>
  <si>
    <t xml:space="preserve">Processamento</t>
  </si>
  <si>
    <t xml:space="preserve">YuNet e SFace cabem no CPU do Pi. O resto já corre no mini.</t>
  </si>
  <si>
    <t xml:space="preserve">reSpeaker Mic Array v2.0 (Mauser)</t>
  </si>
  <si>
    <t xml:space="preserve">ESCOLHIDO 15/09</t>
  </si>
  <si>
    <t xml:space="preserve">XMOS XVF-3000: AEC + beamforming + deteção de direção (DoA) e 4 microfones. LOJA PORTUGUESA, 4 em stock. ⚠ A saída é só jack de 3,5 mm — a coluna passiva de 8 Ω precisa de um amplificador analógico (PAM8403, ~€3); o MAX98357A é I2S e NÃO serve aqui. Ref. 096-8389.</t>
  </si>
  <si>
    <t xml:space="preserve">reSpeaker Lite (2 mics)</t>
  </si>
  <si>
    <t xml:space="preserve">VL53L1X na Mauser</t>
  </si>
  <si>
    <t xml:space="preserve">COMPRAR AQUI</t>
  </si>
  <si>
    <t xml:space="preserve">€9,99 c/IVA, 31 em stock, loja portuguesa. Metade do preço da Botnroll e 2,4× mais barato que a DigiKey. 5+ a €8,00.</t>
  </si>
  <si>
    <t xml:space="preserve">ONDE COMPRAR · v6.0</t>
  </si>
  <si>
    <t xml:space="preserve">Preços confirmados a 14/09/2026 onde diz «verificado». Revalidar sempre preço, stock e portes antes de carregar em comprar.</t>
  </si>
  <si>
    <t xml:space="preserve">Loja</t>
  </si>
  <si>
    <t xml:space="preserve">País</t>
  </si>
  <si>
    <t xml:space="preserve">Site</t>
  </si>
  <si>
    <t xml:space="preserve">O que comprar lá, e o aviso</t>
  </si>
  <si>
    <t xml:space="preserve">Gotronic</t>
  </si>
  <si>
    <t xml:space="preserve">França</t>
  </si>
  <si>
    <t xml:space="preserve">gotronic.fr</t>
  </si>
  <si>
    <t xml:space="preserve">⚠️ NÃO ENVIA PARA PORTUGAL (confirmado pelo Bruno, 14/09/2026). Tinha o reSpeaker a €59,90, mas não serve. Não voltar a propor esta loja.</t>
  </si>
  <si>
    <t xml:space="preserve">Antratek</t>
  </si>
  <si>
    <t xml:space="preserve">Holanda</t>
  </si>
  <si>
    <t xml:space="preserve">antratek.com</t>
  </si>
  <si>
    <t xml:space="preserve">✅ MELHOR OPÇÃO EM STOCK HOJE para o reSpeaker: €69,00 COM caixa, Holanda. Portes grátis só para NL/DE/BE, por isso PT paga — o valor só aparece no checkout.</t>
  </si>
  <si>
    <t xml:space="preserve">BerryBase</t>
  </si>
  <si>
    <t xml:space="preserve">Alemanha</t>
  </si>
  <si>
    <t xml:space="preserve">berrybase.de</t>
  </si>
  <si>
    <t xml:space="preserve">Tinha o painel HUB75 P2.5 (ADA5036) a €44,90, mas só 1 em stock. Saiu da lista: a DigiKey tem o mesmo painel com 145 em stock e conta para os portes grátis. Boa loja para breakouts baratos.</t>
  </si>
  <si>
    <t xml:space="preserve">Botnroll</t>
  </si>
  <si>
    <t xml:space="preserve">Portugal</t>
  </si>
  <si>
    <t xml:space="preserve">botnroll.com</t>
  </si>
  <si>
    <t xml:space="preserve">✅ VERIFICADO: VL53L1X (SEN03042) €16,95. ⚠️ O painel HUB75 que têm é pitch 4 mm (256×128 mm) — grande demais para a cabeça. 💡 PEDIR-LHES O reSpeaker: é loja portuguesa, sem alfândega, e já leva os VL53L1X. Custa um email e resolve o problema todo. A pesquisa interna é péssima: procurar com site:botnroll.com.</t>
  </si>
  <si>
    <t xml:space="preserve">Mauser</t>
  </si>
  <si>
    <t xml:space="preserve">mauser.pt</t>
  </si>
  <si>
    <t xml:space="preserve">✅✅ LOJA PORTUGUESA, e melhor do que eu julgava. VERIFICADO 15/09: VL53L1X (095-9477) €9,99 c/IVA, 31 em stock · reSpeaker Mic Array v2.0 (096-8389) €55,30, XVF-3000 com AEC+DoA, 4 em stock · Camera Module 3 €29,99 e cabo SC1892 €1,17. SETE lojas com levantamento GRÁTIS, Porto incluído — ⚠ mas o stock é por loja, e estes dois estão em Freixeira. Portes €3,49 abaixo de €50, grátis acima. ⚠ Não comprar aqui o Pi 5.</t>
  </si>
  <si>
    <t xml:space="preserve">PTRobotics</t>
  </si>
  <si>
    <t xml:space="preserve">ptrobotics.com</t>
  </si>
  <si>
    <t xml:space="preserve">Bom catálogo e envio rápido. ⚠ O site bloqueia leitura automática — tens de confirmar preços à mão. Só tem HUB75 de pitch 3 e 4 mm.</t>
  </si>
  <si>
    <t xml:space="preserve">Welectron</t>
  </si>
  <si>
    <t xml:space="preserve">welectron.com</t>
  </si>
  <si>
    <t xml:space="preserve">O OLED candidato: Waveshare 16103, 5,5" AMOLED HDMI, €109,00. ⚠ ENTREGA ~3 MESES. É a razão para fazer o teste do telemóvel primeiro.</t>
  </si>
  <si>
    <t xml:space="preserve">The Pi Hut / Pimoroni</t>
  </si>
  <si>
    <t xml:space="preserve">Reino Unido</t>
  </si>
  <si>
    <t xml:space="preserve">thepihut.com</t>
  </si>
  <si>
    <t xml:space="preserve">Tem o reSpeaker XVF3800 a £52,80 com IVA britânico, em stock. ⚠️ Pós-Brexit: tirar o IVA do Reino Unido, somar portes, IVA português a 23% e uma possível taxa de desalfandegamento dos CTT ANTES de comparar com a Antratek. Também é referência para Adafruit e Pimoroni.</t>
  </si>
  <si>
    <t xml:space="preserve">Botland</t>
  </si>
  <si>
    <t xml:space="preserve">Polónia</t>
  </si>
  <si>
    <t xml:space="preserve">botland.store</t>
  </si>
  <si>
    <t xml:space="preserve">⚠️ SÓ VENDE A CLIENTES B2B REGISTADOS (confirmado pelo Bruno, 14/09/2026). Tinha o reSpeaker a €57,90, mas é preciso conta de empresa. Não voltar a propor.</t>
  </si>
  <si>
    <t xml:space="preserve">ANTES DE ENCOMENDAR</t>
  </si>
  <si>
    <t xml:space="preserve">☐ Escrever o inventário do que já chegou — docs/componentes.md ainda diz «por identificar» sobre peças que já testaste</t>
  </si>
  <si>
    <t xml:space="preserve">☐ Medir os contactos do botão de 28 mm e do rocker de 20 mm antes de comprar um DPST</t>
  </si>
  <si>
    <t xml:space="preserve">☐ Confirmar que ficha traz a coluna (JST-PH 2.0 ou jack 3,5 mm) — as duas servem no reSpeaker, sem comprar nada</t>
  </si>
  <si>
    <t xml:space="preserve">☐ Fazer o teste do telemóvel atrás do acrílico antes de gastar €109 e três meses no OLED</t>
  </si>
  <si>
    <t xml:space="preserve">☐ Medir a profundidade disponível na cabeça e no torso antes de fechar o painel e o reSpeaker</t>
  </si>
  <si>
    <t xml:space="preserve">☐ Não comprar bateria nem reguladores antes de medir o consumo do conjunto</t>
  </si>
  <si>
    <t xml:space="preserve">☐ Revalidar preço, stock, portes e compatibilidade de cada referência no dia da encomenda</t>
  </si>
  <si>
    <t xml:space="preserve">Amazon.es</t>
  </si>
  <si>
    <t xml:space="preserve">Espanha</t>
  </si>
  <si>
    <t xml:space="preserve">amazon.es</t>
  </si>
  <si>
    <t xml:space="preserve">⚠️ Para o reSpeaker NÃO SERVE: ASIN B0FKGFXQQ5 está a €181,66 e a página diz «só pode ser enviado para França e Mónaco». Continua a ser boa loja para o resto — foi de lá que vieram os microfones e os MAX98357A.</t>
  </si>
  <si>
    <t xml:space="preserve">Kiwi Electronics</t>
  </si>
  <si>
    <t xml:space="preserve">kiwi-electronics.com</t>
  </si>
  <si>
    <t xml:space="preserve">O reSpeaker mais barato da UE: ref. 20794, €48,99 sem IVA — mas ESGOTADO e sem data de reposição (14/09/2026). Vale um alerta de stock; não vale esperar por ele.</t>
  </si>
  <si>
    <t xml:space="preserve">DigiKey Portugal</t>
  </si>
  <si>
    <t xml:space="preserve">digikey.pt</t>
  </si>
  <si>
    <t xml:space="preserve">✅✅ A LOJA PRINCIPAL. Preços em euros, IVA português à vista, vende a particulares, entrega em 48 h. ⚠️⚠️ PORTES: €25 abaixo de €75, GRÁTIS a partir de €75. NUNCA encomendar uma peça sozinha aqui — juntar sempre até passar os €75. Tem: reSpeaker Lite 1597-107990273-ND · painel HUB75 P2.5 1528-5036-ND · cabo de força do painel 1528-4767 · VL53L1X-SATEL. NÃO tem o XVF3800.</t>
  </si>
  <si>
    <t xml:space="preserve">IMPRESSORA 3D — INVESTIMENTO FUTURO</t>
  </si>
  <si>
    <t xml:space="preserve">NÃO entra no total do robô. Não é preciso para começar: o corpo faz-se em cartão até à fase 13.</t>
  </si>
  <si>
    <t xml:space="preserve">Fechada?</t>
  </si>
  <si>
    <t xml:space="preserve">Volume</t>
  </si>
  <si>
    <t xml:space="preserve">Bambu Lab P1S</t>
  </si>
  <si>
    <t xml:space="preserve">Sim</t>
  </si>
  <si>
    <t xml:space="preserve">256 mm</t>
  </si>
  <si>
    <t xml:space="preserve">RECOMENDADA</t>
  </si>
  <si>
    <t xml:space="preserve">Fechada (barreira física contra um bico a 250C, com uma criança por perto), filtro de carvão ativado, e 256mm chega para a cúpula da cabeça em 2 metades. Ecossistema mais fácil do mercado para quem começa.</t>
  </si>
  <si>
    <t xml:space="preserve">Filamento inicial (PLA branco + azul + PETG)</t>
  </si>
  <si>
    <t xml:space="preserve">COMPRAR COM</t>
  </si>
  <si>
    <t xml:space="preserve">As cores do Astro. O PETG é para as peças que tocam no Pi e nos reguladores — o PLA amolece aos 60C.</t>
  </si>
  <si>
    <t xml:space="preserve">Bambu Lab A1</t>
  </si>
  <si>
    <t xml:space="preserve">ALTERNATIVA</t>
  </si>
  <si>
    <t xml:space="preserve">Excelente máquina e 120 euros mais barata, mas ABERTA. Com uma criança de 11 anos, esses 120 euros compram uma barreira à volta do bico quente e da mesa que se move.</t>
  </si>
  <si>
    <t xml:space="preserve">Bambu Lab A1 mini</t>
  </si>
  <si>
    <t xml:space="preserve">180 mm</t>
  </si>
  <si>
    <t xml:space="preserve">EVITAR</t>
  </si>
  <si>
    <t xml:space="preserve">⚠️ 180mm obriga a partir a cúpula da cabeça em 4-6 gomos, com muitas juntas a lixar e colar. Frustração garantida para uma criança.</t>
  </si>
  <si>
    <t xml:space="preserve">Elegoo Centauri Carbon 2 Combo</t>
  </si>
  <si>
    <t xml:space="preserve">ALTERNATIVA FORTE</t>
  </si>
  <si>
    <t xml:space="preserve">Fechada E já com multicor, pelo mesmo preço da P1S. A melhor relação preço/valor de 2026, se não fizerem questão do ecossistema Bambu.</t>
  </si>
  <si>
    <t xml:space="preserve">Bambu Lab P2S</t>
  </si>
  <si>
    <t xml:space="preserve">NÃO COMPENSA</t>
  </si>
  <si>
    <t xml:space="preserve">A P1S melhorada (out/2025): extrusor DynaSense, deteção de erros por IA. Melhor, mas não 140 euros melhor para este uso.</t>
  </si>
  <si>
    <t xml:space="preserve">Prusa MK4S</t>
  </si>
  <si>
    <t xml:space="preserve">Não</t>
  </si>
  <si>
    <t xml:space="preserve">250x210x220</t>
  </si>
  <si>
    <t xml:space="preserve">FORA DO ÂMBITO</t>
  </si>
  <si>
    <t xml:space="preserve">Fabricante europeu, open-source, peças e apoio na UE. Ótima máquina, mas o dobro do que este projeto precisa.</t>
  </si>
  <si>
    <t xml:space="preserve">AMS lite — impressão multicor</t>
  </si>
  <si>
    <t xml:space="preserve">⚠️ Parece óbvio para um robô branco e azul, mas não é: desperdiça ~8g de filamento POR TROCA DE COR (81% do filamento numa peça pequena com 8 trocas). As nossas peças são grandes e de UMA cor — troca-se o rolo à mão entre peças, 2 minutos. Só compensaria para várias cores DENTRO da mesma peça.</t>
  </si>
  <si>
    <t xml:space="preserve">Purificador de ar HEPA + carvão</t>
  </si>
  <si>
    <t xml:space="preserve">SE FOR EM CASA</t>
  </si>
  <si>
    <t xml:space="preserve">⚠️ Só se a impressora ficar numa divisão habitada. O filtro de carvão da P1S trata dos COVs mas NÃO É HEPA — não apanha as partículas ultrafinas. Melhor ainda: pôr a impressora na garagem ou num escritório com janela.</t>
  </si>
  <si>
    <t xml:space="preserve">PARA ARRANCAR (P1S + filamento)</t>
  </si>
  <si>
    <t xml:space="preserve">SEGURANÇA — as cinco regras</t>
  </si>
  <si>
    <t xml:space="preserve">Um relatório da UL Chemical Insights, feito em salas de aula, mediu mais de 200 COVs distintos em impressoras FDM, formaldeído acima do dobro do limite recomendado da Califórnia, e 3,4x10^8 partículas ultrafinas por hora mesmo com PLA. O relatório avisa explicitamente para crianças. Ou seja: o PLA é o mais seguro, mas não é seguro sem cuidados.</t>
  </si>
  <si>
    <t xml:space="preserve">1. Impressora FECHADA — barreira física contra queimaduras, contém a maior parte das partículas, e reduz muito o ruído.</t>
  </si>
  <si>
    <t xml:space="preserve">2. NÃO no quarto dela. Garagem, arrumos, ou escritório com janela.</t>
  </si>
  <si>
    <t xml:space="preserve">3. Só PLA e PETG. Nada de ABS ou ASA em casa sem extração para o exterior.</t>
  </si>
  <si>
    <t xml:space="preserve">4. A criança carrega o ficheiro e vê pela câmara; só abre a tampa depois de arrefecer.</t>
  </si>
  <si>
    <t xml:space="preserve">5. O filtro de carvão trata dos COVs mas NÃO É HEPA — não apanha partículas ultrafinas. Daí a regra 2.</t>
  </si>
  <si>
    <t xml:space="preserve">CUSTO CONTINUADO</t>
  </si>
  <si>
    <t xml:space="preserve">O robô inteiro consome 1,5-2,5 kg de filamento = 25-40 euros.</t>
  </si>
  <si>
    <t xml:space="preserve">Eletricidade: cerca de 2 cêntimos por hora. Desprezável — o filamento custa 5 a 50x mais.</t>
  </si>
  <si>
    <t xml:space="preserve">Desgaste (bicos 10-15 euros, placa 25-40, correias): orçamentar 40-60 euros por ano.</t>
  </si>
  <si>
    <t xml:space="preserve">⚠️ Uma metade de cúpula demora 8 a 20 HORAS a imprimir. Uma cabeça completa é um fim de semana. Dizer isto à Lara no primeiro dia — a expectativa errada aqui estraga a experiência toda.</t>
  </si>
  <si>
    <t xml:space="preserve">ANTES DE COMPRAR: o FabLab Porto (Rua António Carneiro 302-R, seg-sex 14h-20h) e o FabLab Lisboa deixam ver máquinas a trabalhar. Meia hora bem passada antes de gastar 400 euros.</t>
  </si>
  <si>
    <t xml:space="preserve">A BANCADA · FERRAMENTAS</t>
  </si>
  <si>
    <t xml:space="preserve">Ferramentas duram uma vida e ficam fora do subtotal do robô.</t>
  </si>
  <si>
    <t xml:space="preserve">Essencial?</t>
  </si>
  <si>
    <t xml:space="preserve">Porquê / o que escolher</t>
  </si>
  <si>
    <t xml:space="preserve">Estação de soldar com base pesada (936 / Yihua)</t>
  </si>
  <si>
    <t xml:space="preserve">SIM</t>
  </si>
  <si>
    <t xml:space="preserve">⚠️ COM UMA CRIANÇA POR PERTO, O SUPORTE PESADO IMPORTA MAIS QUE O FERRO. Uma estação de 30 euros com base estável é mais segura que um ferro portátil pousado na mesa. Ponto de retorno decrescente: ~40 euros. Um Hakko de 120 ou um JBC de 400 não ensinam melhor.</t>
  </si>
  <si>
    <t xml:space="preserve">Solda SEM CHUMBO 0,7 mm, 100 g</t>
  </si>
  <si>
    <t xml:space="preserve">⚠️ RECOMENDO SEM CHUMBO, e não a 60/40 clássica. Funde a 217C em vez de 183C e molha um pouco pior, mas apaga uma preocupação inteira numa casa com crianças. O manual de segurança da FIRST Robotics exige mesmo 'lead-free solder only'. Diâmetro 0,7 mm: 1 mm é grosso demais para pinos.</t>
  </si>
  <si>
    <t xml:space="preserve">Fluxo em caneta, no-clean</t>
  </si>
  <si>
    <t xml:space="preserve">Com solda sem chumbo o fluxo extra deixa de ser luxo. Uma caneta dura anos.</t>
  </si>
  <si>
    <t xml:space="preserve">Lã de latão para limpar a ponta</t>
  </si>
  <si>
    <t xml:space="preserve">Melhor que a esponja molhada: não arrefece a ponta de repente, o que a faz durar muito mais.</t>
  </si>
  <si>
    <t xml:space="preserve">Ponta chisel 2,4 mm de reserva</t>
  </si>
  <si>
    <t xml:space="preserve">⚠️ A ponta CHISEL é a certa para principiante — transfere muito mais calor que a de agulha, que é a pior escolha e a que toda a gente experimenta primeiro.</t>
  </si>
  <si>
    <t xml:space="preserve">Malha dessoldadora + bomba</t>
  </si>
  <si>
    <t xml:space="preserve">Para desfazer erros. Vão precisar nas primeiras vinte juntas.</t>
  </si>
  <si>
    <t xml:space="preserve">Terceira mão (helping hands)</t>
  </si>
  <si>
    <t xml:space="preserve">Duas mãos seguram o ferro e a solda; não sobra nenhuma para a placa.</t>
  </si>
  <si>
    <t xml:space="preserve">Alicate de corte flush + descarnador</t>
  </si>
  <si>
    <t xml:space="preserve">O descarnador é usado em todas as fases, mesmo sem soldar.</t>
  </si>
  <si>
    <t xml:space="preserve">Óculos de proteção (2 pares)</t>
  </si>
  <si>
    <t xml:space="preserve">⚠️ O risco ocular real NÃO é o fumo — é o terminal cortado a saltar. Dois pares: um para cada um.</t>
  </si>
  <si>
    <t xml:space="preserve">Kit de prática (Whadda WSI102 ou similar)</t>
  </si>
  <si>
    <t xml:space="preserve">⚠️ FAZER ~100 JUNTAS ANTES DE TOCAR NO PI DE 95 EUROS. 15 euros contra o risco de destruir 95: não há discussão. E é o sítio certo para a Lara experimentar — uma placa de treino não tem nada a perder.</t>
  </si>
  <si>
    <t xml:space="preserve">Multímetro (se não tiverem)</t>
  </si>
  <si>
    <t xml:space="preserve">Serve para identificar os componentes recebidos, medir os contactos do botão e do rocker, verificar a coluna e testar a alimentação do MAX98357A.</t>
  </si>
  <si>
    <t xml:space="preserve">Ventoinha USB pequena</t>
  </si>
  <si>
    <t xml:space="preserve">RECOMENDADO</t>
  </si>
  <si>
    <t xml:space="preserve">Posta a PUXAR o ar para longe das caras. A seguir a 'não se debruçar sobre a junta', é o maior ganho de segurança por euro. Uma janela aberta e esta ventoinha valem mais que um extrator caro mal colocado.</t>
  </si>
  <si>
    <t xml:space="preserve">Extrator de fumos com filtro de carvão</t>
  </si>
  <si>
    <t xml:space="preserve">OPCIONAL</t>
  </si>
  <si>
    <t xml:space="preserve">Só funciona a 10-15 cm da junta. A HSE avisa que estas unidades 'do not capture all of the fume particles'. Janela + ventoinha primeiro; isto se soldarem muito.</t>
  </si>
  <si>
    <t xml:space="preserve">Estação de ar quente / microscópio / pasta de solda</t>
  </si>
  <si>
    <t xml:space="preserve">NAO COMPRAR</t>
  </si>
  <si>
    <t xml:space="preserve">⚠️ Nada disto é preciso para este projeto. São a tentação clássica de quem começa.</t>
  </si>
  <si>
    <t xml:space="preserve">TOTAL DA BANCADA (só os essenciais)</t>
  </si>
  <si>
    <t xml:space="preserve">SEGURANÇA — os factos, sem alarmismo</t>
  </si>
  <si>
    <t xml:space="preserve">O CHUMBO NÃO EVAPORA. Funde a 327C e ferve a 1749C; soldamos a 350C. A via de exposição real é MAO-BOCA, não o ar (Columbia University EHS: 'the primary route of exposure to lead from soldering is ingestion'). LAVAR AS MAOS COM SABAO a seguir resolve quase tudo. Mesmo assim, recomendo solda sem chumbo: apaga a questão inteira.</t>
  </si>
  <si>
    <t xml:space="preserve">O FUMO QUE SE VE E O FLUXO, NAO O METAL — e ESSE é o risco a sério. A HSE britânica classifica o fumo de colofónia como 'a common cause of occupational asthma', e a sensibilização é PERMANENTE: uma vez sensibilizado, doses mínimas desencadeiam crise.</t>
  </si>
  <si>
    <t xml:space="preserve">AS TRES MEDIDAS, POR ORDEM DE EFICACIA POR EURO:</t>
  </si>
  <si>
    <t xml:space="preserve">  1. NAO SE DEBRUCAR SOBRE A JUNTA. Custa zero e é o maior ganho isolado.</t>
  </si>
  <si>
    <t xml:space="preserve">  2. Janela aberta + ventoinha a PUXAR o ar para longe das caras (~12 euros).</t>
  </si>
  <si>
    <t xml:space="preserve">  3. Extrator com filtro de carvão, e só serve a 10-15 cm da junta (~30 euros).</t>
  </si>
  <si>
    <t xml:space="preserve">REGRAS DE CASA: ferro sempre no suporte · cabo longe da borda · cabelo apanhado e sem mangas largas · OCULOS DE PROTECAO (o risco é o terminal cortado a saltar, não o fumo) · nada de comer nem beber na bancada · lavar as mãos a seguir · limpar a bancada com pano HUMIDO, nunca varrer · nunca deixar o ferro ligado sem vigilância · queimadura: água fria corrente 20 minutos.</t>
  </si>
  <si>
    <t xml:space="preserve">QUANDO É QUE A LARA PODE SOLDAR? O manual de segurança da FIRST Robotics normaliza 10-13 anos com supervisão 1:1, e o FTC aceita a partir dos 12. O critério prático é melhor que a idade: ELA PODE SOLDAR QUANDO PUSER O FERRO NO SUPORTE DE FORMA FIAVEL ENTRE JUNTAS, sem ter de se lembrar. Testar isso no kit de prática, que não tem nada a perder.</t>
  </si>
  <si>
    <t xml:space="preserve">QUANTA SOLDADURA É PRECISA AGORA</t>
  </si>
  <si>
    <t xml:space="preserve">Com as escolhas certas na lista de compras, quase nenhuma:</t>
  </si>
  <si>
    <t xml:space="preserve">O ferro e os materiais já chegaram. Primeiro praticar numa placa descartável. Depois testar o MAX98357A, a coluna e os controlos na breadboard. Soldar o pente apenas depois de confirmar a orientação e a pinagem.</t>
  </si>
  <si>
    <t xml:space="preserve">O mBot2 permanece inteiro. Não há TB6612 nem PCA9685 de motores para montar. A alimentação final, os braços e o ecrã ficam para depois dos ensaios do conjunto básico.</t>
  </si>
  <si>
    <t xml:space="preserve">Se o MAX98357A ou um controlo precisar de pinos, praticar primeiro numa placa descartável. Nenhuma junta de aprendizagem é feita no Raspberry Pi.</t>
  </si>
  <si>
    <t xml:space="preserve">Dezoito juntas. É exatamente o trabalho certo para fazer DEPOIS do kit de prática: pouco, controlado, e com um resultado visível.</t>
  </si>
  <si>
    <t xml:space="preserve">OPINIAO HONESTA: aprendam a soldar. São umas 4 horas de prática e elimina a causa número um de robôs de hobby que 'às vezes funcionam' — contactos intermitentes. Mas usem as soluções sem soldar no caminho de POTENCIA, porque é aí que uma junta má deixa de ser uma chatice e passa a ser um perigo.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</si>
</sst>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.00&quot; €&quot;"/>
    <numFmt numFmtId="166" formatCode="#,##0.00&quot; €&quot;"/>
    <numFmt numFmtId="167" formatCode="\€#,##0.0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9"/>
      <color rgb="FF1F3864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8"/>
      <color rgb="FF24436F"/>
      <name val="Arial"/>
      <family val="0"/>
      <charset val="1"/>
    </font>
    <font>
      <i val="true"/>
      <sz val="10"/>
      <color rgb="FF7F7F7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24436F"/>
      </patternFill>
    </fill>
    <fill>
      <patternFill patternType="solid">
        <fgColor rgb="FFEDEDF5"/>
        <bgColor rgb="FFEAF4EA"/>
      </patternFill>
    </fill>
    <fill>
      <patternFill patternType="solid">
        <fgColor rgb="FFEAF4EA"/>
        <bgColor rgb="FFEDEDF5"/>
      </patternFill>
    </fill>
    <fill>
      <patternFill patternType="solid">
        <fgColor rgb="FFFFF6DC"/>
        <bgColor rgb="FFFFF2CC"/>
      </patternFill>
    </fill>
    <fill>
      <patternFill patternType="solid">
        <fgColor rgb="FFF7E0E0"/>
        <bgColor rgb="FFFCE4E4"/>
      </patternFill>
    </fill>
    <fill>
      <patternFill patternType="solid">
        <fgColor rgb="FFE2EFDA"/>
        <bgColor rgb="FFEAF4EA"/>
      </patternFill>
    </fill>
    <fill>
      <patternFill patternType="solid">
        <fgColor rgb="FFFFF2CC"/>
        <bgColor rgb="FFFFF6DC"/>
      </patternFill>
    </fill>
    <fill>
      <patternFill patternType="solid">
        <fgColor rgb="FFFCE4E4"/>
        <bgColor rgb="FFF7E0E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15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AF4EA"/>
          <bgColor rgb="FF000000"/>
        </patternFill>
      </fill>
    </dxf>
    <dxf>
      <fill>
        <patternFill patternType="solid">
          <fgColor rgb="FFEDEDF5"/>
          <bgColor rgb="FF000000"/>
        </patternFill>
      </fill>
    </dxf>
    <dxf>
      <fill>
        <patternFill patternType="solid">
          <fgColor rgb="FFFFF6D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6DC"/>
      <rgbColor rgb="FFEAF4EA"/>
      <rgbColor rgb="FF660066"/>
      <rgbColor rgb="FFFF8080"/>
      <rgbColor rgb="FF0066CC"/>
      <rgbColor rgb="FFFCE4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F5"/>
      <rgbColor rgb="FFE2EFDA"/>
      <rgbColor rgb="FFFFF2CC"/>
      <rgbColor rgb="FF99CCFF"/>
      <rgbColor rgb="FFFF99CC"/>
      <rgbColor rgb="FFCC99FF"/>
      <rgbColor rgb="FFF7E0E0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2443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6"/>
    <col collapsed="false" customWidth="true" hidden="false" outlineLevel="0" max="3" min="3" style="1" width="32"/>
    <col collapsed="false" customWidth="true" hidden="false" outlineLevel="0" max="4" min="4" style="1" width="44"/>
    <col collapsed="false" customWidth="true" hidden="false" outlineLevel="0" max="5" min="5" style="1" width="30"/>
    <col collapsed="false" customWidth="true" hidden="false" outlineLevel="0" max="6" min="6" style="1" width="5"/>
    <col collapsed="false" customWidth="true" hidden="false" outlineLevel="0" max="8" min="7" style="1" width="11"/>
    <col collapsed="false" customWidth="true" hidden="false" outlineLevel="0" max="9" min="9" style="1" width="30"/>
    <col collapsed="false" customWidth="true" hidden="false" outlineLevel="0" max="10" min="10" style="1" width="22"/>
    <col collapsed="false" customWidth="true" hidden="false" outlineLevel="0" max="11" min="11" style="1" width="60"/>
  </cols>
  <sheetData>
    <row r="1" customFormat="false" ht="17.25" hidden="false" customHeight="true" outlineLevel="0" collapsed="false">
      <c r="A1" s="2" t="s">
        <v>0</v>
      </c>
    </row>
    <row r="2" customFormat="false" ht="57.7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</row>
    <row r="5" customFormat="false" ht="23.25" hidden="false" customHeight="true" outlineLevel="0" collapsed="false">
      <c r="A5" s="5" t="s">
        <v>13</v>
      </c>
      <c r="B5" s="6" t="s">
        <v>14</v>
      </c>
      <c r="C5" s="6" t="s">
        <v>15</v>
      </c>
      <c r="D5" s="6" t="s">
        <v>16</v>
      </c>
      <c r="E5" s="6" t="s">
        <v>17</v>
      </c>
      <c r="F5" s="6" t="n">
        <v>1</v>
      </c>
      <c r="G5" s="7"/>
      <c r="H5" s="7" t="str">
        <f aca="false">IF(G5="","",F5*G5)</f>
        <v/>
      </c>
      <c r="I5" s="6" t="s">
        <v>18</v>
      </c>
      <c r="J5" s="6" t="s">
        <v>19</v>
      </c>
      <c r="K5" s="6" t="s">
        <v>20</v>
      </c>
    </row>
    <row r="6" customFormat="false" ht="23.25" hidden="false" customHeight="true" outlineLevel="0" collapsed="false">
      <c r="A6" s="5" t="s">
        <v>13</v>
      </c>
      <c r="B6" s="6" t="s">
        <v>14</v>
      </c>
      <c r="C6" s="6" t="s">
        <v>21</v>
      </c>
      <c r="D6" s="6" t="s">
        <v>22</v>
      </c>
      <c r="E6" s="6" t="s">
        <v>23</v>
      </c>
      <c r="F6" s="6" t="n">
        <v>1</v>
      </c>
      <c r="G6" s="7"/>
      <c r="H6" s="7" t="str">
        <f aca="false">IF(G6="","",F6*G6)</f>
        <v/>
      </c>
      <c r="I6" s="6" t="s">
        <v>18</v>
      </c>
      <c r="J6" s="6" t="s">
        <v>19</v>
      </c>
      <c r="K6" s="6" t="s">
        <v>24</v>
      </c>
    </row>
    <row r="7" customFormat="false" ht="23.25" hidden="false" customHeight="true" outlineLevel="0" collapsed="false">
      <c r="A7" s="5" t="s">
        <v>13</v>
      </c>
      <c r="B7" s="6" t="s">
        <v>14</v>
      </c>
      <c r="C7" s="6" t="s">
        <v>25</v>
      </c>
      <c r="D7" s="6" t="s">
        <v>26</v>
      </c>
      <c r="E7" s="6" t="s">
        <v>27</v>
      </c>
      <c r="F7" s="6" t="n">
        <v>1</v>
      </c>
      <c r="G7" s="7"/>
      <c r="H7" s="7" t="str">
        <f aca="false">IF(G7="","",F7*G7)</f>
        <v/>
      </c>
      <c r="I7" s="6" t="s">
        <v>28</v>
      </c>
      <c r="J7" s="6" t="s">
        <v>19</v>
      </c>
      <c r="K7" s="6" t="s">
        <v>29</v>
      </c>
    </row>
    <row r="8" customFormat="false" ht="23.25" hidden="false" customHeight="true" outlineLevel="0" collapsed="false">
      <c r="A8" s="5" t="s">
        <v>13</v>
      </c>
      <c r="B8" s="6" t="s">
        <v>30</v>
      </c>
      <c r="C8" s="6" t="s">
        <v>31</v>
      </c>
      <c r="D8" s="6" t="s">
        <v>32</v>
      </c>
      <c r="E8" s="6" t="s">
        <v>33</v>
      </c>
      <c r="F8" s="6" t="n">
        <v>1</v>
      </c>
      <c r="G8" s="7"/>
      <c r="H8" s="7" t="str">
        <f aca="false">IF(G8="","",F8*G8)</f>
        <v/>
      </c>
      <c r="I8" s="6" t="s">
        <v>28</v>
      </c>
      <c r="J8" s="6" t="s">
        <v>34</v>
      </c>
      <c r="K8" s="6" t="s">
        <v>35</v>
      </c>
    </row>
    <row r="9" customFormat="false" ht="23.25" hidden="false" customHeight="true" outlineLevel="0" collapsed="false">
      <c r="A9" s="5" t="s">
        <v>13</v>
      </c>
      <c r="B9" s="6" t="s">
        <v>36</v>
      </c>
      <c r="C9" s="6" t="s">
        <v>37</v>
      </c>
      <c r="D9" s="6" t="s">
        <v>38</v>
      </c>
      <c r="E9" s="6" t="s">
        <v>39</v>
      </c>
      <c r="F9" s="6" t="n">
        <v>1</v>
      </c>
      <c r="G9" s="7"/>
      <c r="H9" s="7" t="str">
        <f aca="false">IF(G9="","",F9*G9)</f>
        <v/>
      </c>
      <c r="I9" s="6" t="s">
        <v>18</v>
      </c>
      <c r="J9" s="6" t="s">
        <v>40</v>
      </c>
      <c r="K9" s="6" t="s">
        <v>41</v>
      </c>
    </row>
    <row r="10" customFormat="false" ht="23.25" hidden="false" customHeight="true" outlineLevel="0" collapsed="false">
      <c r="A10" s="5" t="s">
        <v>13</v>
      </c>
      <c r="B10" s="6" t="s">
        <v>14</v>
      </c>
      <c r="C10" s="6" t="s">
        <v>42</v>
      </c>
      <c r="D10" s="6" t="s">
        <v>43</v>
      </c>
      <c r="E10" s="6" t="s">
        <v>44</v>
      </c>
      <c r="F10" s="6" t="n">
        <v>1</v>
      </c>
      <c r="G10" s="7"/>
      <c r="H10" s="7" t="str">
        <f aca="false">IF(G10="","",F10*G10)</f>
        <v/>
      </c>
      <c r="I10" s="6" t="s">
        <v>18</v>
      </c>
      <c r="J10" s="6" t="s">
        <v>19</v>
      </c>
      <c r="K10" s="6" t="s">
        <v>45</v>
      </c>
    </row>
    <row r="11" customFormat="false" ht="15" hidden="false" customHeight="true" outlineLevel="0" collapsed="false">
      <c r="A11" s="5" t="s">
        <v>13</v>
      </c>
      <c r="B11" s="6" t="s">
        <v>14</v>
      </c>
      <c r="C11" s="6" t="s">
        <v>46</v>
      </c>
      <c r="D11" s="6" t="s">
        <v>47</v>
      </c>
      <c r="E11" s="6" t="s">
        <v>48</v>
      </c>
      <c r="F11" s="6" t="n">
        <v>1</v>
      </c>
      <c r="G11" s="7"/>
      <c r="H11" s="7" t="str">
        <f aca="false">IF(G11="","",F11*G11)</f>
        <v/>
      </c>
      <c r="I11" s="6" t="s">
        <v>18</v>
      </c>
      <c r="J11" s="6" t="s">
        <v>19</v>
      </c>
      <c r="K11" s="6" t="s">
        <v>49</v>
      </c>
    </row>
    <row r="12" customFormat="false" ht="15" hidden="false" customHeight="true" outlineLevel="0" collapsed="false">
      <c r="A12" s="5" t="s">
        <v>13</v>
      </c>
      <c r="B12" s="6" t="s">
        <v>14</v>
      </c>
      <c r="C12" s="6" t="s">
        <v>50</v>
      </c>
      <c r="D12" s="6" t="s">
        <v>51</v>
      </c>
      <c r="E12" s="6" t="s">
        <v>52</v>
      </c>
      <c r="F12" s="6" t="n">
        <v>1</v>
      </c>
      <c r="G12" s="7"/>
      <c r="H12" s="7" t="str">
        <f aca="false">IF(G12="","",F12*G12)</f>
        <v/>
      </c>
      <c r="I12" s="6" t="s">
        <v>18</v>
      </c>
      <c r="J12" s="6" t="s">
        <v>53</v>
      </c>
      <c r="K12" s="6" t="s">
        <v>54</v>
      </c>
    </row>
    <row r="13" customFormat="false" ht="23.25" hidden="false" customHeight="true" outlineLevel="0" collapsed="false">
      <c r="A13" s="5" t="s">
        <v>13</v>
      </c>
      <c r="B13" s="6" t="s">
        <v>55</v>
      </c>
      <c r="C13" s="6" t="s">
        <v>56</v>
      </c>
      <c r="D13" s="6" t="s">
        <v>57</v>
      </c>
      <c r="E13" s="6" t="s">
        <v>58</v>
      </c>
      <c r="F13" s="6" t="n">
        <v>1</v>
      </c>
      <c r="G13" s="7"/>
      <c r="H13" s="7" t="str">
        <f aca="false">IF(G13="","",F13*G13)</f>
        <v/>
      </c>
      <c r="I13" s="6" t="s">
        <v>18</v>
      </c>
      <c r="J13" s="6" t="s">
        <v>59</v>
      </c>
      <c r="K13" s="6" t="s">
        <v>60</v>
      </c>
    </row>
    <row r="14" customFormat="false" ht="15" hidden="false" customHeight="true" outlineLevel="0" collapsed="false">
      <c r="A14" s="5" t="s">
        <v>13</v>
      </c>
      <c r="B14" s="6" t="s">
        <v>61</v>
      </c>
      <c r="C14" s="6" t="s">
        <v>62</v>
      </c>
      <c r="D14" s="6" t="s">
        <v>63</v>
      </c>
      <c r="E14" s="6" t="s">
        <v>64</v>
      </c>
      <c r="F14" s="6" t="n">
        <v>1</v>
      </c>
      <c r="G14" s="7"/>
      <c r="H14" s="7" t="str">
        <f aca="false">IF(G14="","",F14*G14)</f>
        <v/>
      </c>
      <c r="I14" s="6" t="s">
        <v>18</v>
      </c>
      <c r="J14" s="6" t="s">
        <v>65</v>
      </c>
      <c r="K14" s="6" t="s">
        <v>66</v>
      </c>
    </row>
    <row r="15" customFormat="false" ht="15" hidden="false" customHeight="true" outlineLevel="0" collapsed="false">
      <c r="A15" s="5" t="s">
        <v>13</v>
      </c>
      <c r="B15" s="6" t="s">
        <v>61</v>
      </c>
      <c r="C15" s="6" t="s">
        <v>67</v>
      </c>
      <c r="D15" s="6" t="s">
        <v>63</v>
      </c>
      <c r="E15" s="6" t="s">
        <v>64</v>
      </c>
      <c r="F15" s="6" t="n">
        <v>1</v>
      </c>
      <c r="G15" s="7"/>
      <c r="H15" s="7" t="str">
        <f aca="false">IF(G15="","",F15*G15)</f>
        <v/>
      </c>
      <c r="I15" s="6" t="s">
        <v>18</v>
      </c>
      <c r="J15" s="6" t="s">
        <v>65</v>
      </c>
      <c r="K15" s="6" t="s">
        <v>66</v>
      </c>
    </row>
    <row r="16" customFormat="false" ht="23.25" hidden="false" customHeight="true" outlineLevel="0" collapsed="false">
      <c r="A16" s="5" t="s">
        <v>13</v>
      </c>
      <c r="B16" s="6" t="s">
        <v>68</v>
      </c>
      <c r="C16" s="6" t="s">
        <v>69</v>
      </c>
      <c r="D16" s="6" t="s">
        <v>70</v>
      </c>
      <c r="E16" s="6" t="s">
        <v>71</v>
      </c>
      <c r="F16" s="6" t="n">
        <v>1</v>
      </c>
      <c r="G16" s="7"/>
      <c r="H16" s="7" t="str">
        <f aca="false">IF(G16="","",F16*G16)</f>
        <v/>
      </c>
      <c r="I16" s="6" t="s">
        <v>18</v>
      </c>
      <c r="J16" s="6" t="s">
        <v>19</v>
      </c>
      <c r="K16" s="6" t="s">
        <v>72</v>
      </c>
    </row>
    <row r="17" customFormat="false" ht="15" hidden="false" customHeight="true" outlineLevel="0" collapsed="false">
      <c r="A17" s="5" t="s">
        <v>13</v>
      </c>
      <c r="B17" s="6" t="s">
        <v>73</v>
      </c>
      <c r="C17" s="6" t="s">
        <v>74</v>
      </c>
      <c r="D17" s="6" t="s">
        <v>75</v>
      </c>
      <c r="E17" s="6" t="s">
        <v>52</v>
      </c>
      <c r="F17" s="6" t="n">
        <v>1</v>
      </c>
      <c r="G17" s="7"/>
      <c r="H17" s="7" t="str">
        <f aca="false">IF(G17="","",F17*G17)</f>
        <v/>
      </c>
      <c r="I17" s="6" t="s">
        <v>18</v>
      </c>
      <c r="J17" s="6" t="s">
        <v>76</v>
      </c>
      <c r="K17" s="6" t="s">
        <v>77</v>
      </c>
    </row>
    <row r="18" customFormat="false" ht="34.5" hidden="false" customHeight="true" outlineLevel="0" collapsed="false">
      <c r="A18" s="8" t="s">
        <v>78</v>
      </c>
      <c r="B18" s="9" t="s">
        <v>61</v>
      </c>
      <c r="C18" s="9" t="s">
        <v>79</v>
      </c>
      <c r="D18" s="9" t="s">
        <v>80</v>
      </c>
      <c r="E18" s="9" t="s">
        <v>81</v>
      </c>
      <c r="F18" s="9" t="n">
        <v>3</v>
      </c>
      <c r="G18" s="10"/>
      <c r="H18" s="10" t="str">
        <f aca="false">IF(G18="","",F18*G18)</f>
        <v/>
      </c>
      <c r="I18" s="9" t="s">
        <v>82</v>
      </c>
      <c r="J18" s="9" t="s">
        <v>83</v>
      </c>
      <c r="K18" s="9" t="s">
        <v>84</v>
      </c>
    </row>
    <row r="19" customFormat="false" ht="34.5" hidden="false" customHeight="true" outlineLevel="0" collapsed="false">
      <c r="A19" s="8" t="s">
        <v>78</v>
      </c>
      <c r="B19" s="9" t="s">
        <v>61</v>
      </c>
      <c r="C19" s="9" t="s">
        <v>85</v>
      </c>
      <c r="D19" s="9" t="s">
        <v>86</v>
      </c>
      <c r="E19" s="9" t="s">
        <v>87</v>
      </c>
      <c r="F19" s="9" t="n">
        <v>2</v>
      </c>
      <c r="G19" s="10"/>
      <c r="H19" s="10" t="str">
        <f aca="false">IF(G19="","",F19*G19)</f>
        <v/>
      </c>
      <c r="I19" s="9" t="s">
        <v>88</v>
      </c>
      <c r="J19" s="9" t="s">
        <v>89</v>
      </c>
      <c r="K19" s="9" t="s">
        <v>90</v>
      </c>
    </row>
    <row r="20" customFormat="false" ht="23.25" hidden="false" customHeight="true" outlineLevel="0" collapsed="false">
      <c r="A20" s="11" t="s">
        <v>91</v>
      </c>
      <c r="B20" s="12" t="s">
        <v>73</v>
      </c>
      <c r="C20" s="12" t="s">
        <v>92</v>
      </c>
      <c r="D20" s="12" t="s">
        <v>93</v>
      </c>
      <c r="E20" s="12" t="s">
        <v>94</v>
      </c>
      <c r="F20" s="12" t="n">
        <v>1</v>
      </c>
      <c r="G20" s="13"/>
      <c r="H20" s="13" t="str">
        <f aca="false">IF(G20="","",F20*G20)</f>
        <v/>
      </c>
      <c r="I20" s="12" t="s">
        <v>76</v>
      </c>
      <c r="J20" s="12" t="s">
        <v>95</v>
      </c>
      <c r="K20" s="12" t="s">
        <v>96</v>
      </c>
    </row>
    <row r="21" customFormat="false" ht="23.25" hidden="false" customHeight="true" outlineLevel="0" collapsed="false">
      <c r="A21" s="11" t="s">
        <v>91</v>
      </c>
      <c r="B21" s="12" t="s">
        <v>68</v>
      </c>
      <c r="C21" s="12" t="s">
        <v>97</v>
      </c>
      <c r="D21" s="12" t="s">
        <v>98</v>
      </c>
      <c r="E21" s="12" t="s">
        <v>99</v>
      </c>
      <c r="F21" s="12" t="n">
        <v>1</v>
      </c>
      <c r="G21" s="13"/>
      <c r="H21" s="13" t="str">
        <f aca="false">IF(G21="","",F21*G21)</f>
        <v/>
      </c>
      <c r="I21" s="12" t="s">
        <v>76</v>
      </c>
      <c r="J21" s="12" t="s">
        <v>100</v>
      </c>
      <c r="K21" s="12" t="s">
        <v>101</v>
      </c>
    </row>
    <row r="22" customFormat="false" ht="23.25" hidden="false" customHeight="true" outlineLevel="0" collapsed="false">
      <c r="A22" s="11" t="s">
        <v>91</v>
      </c>
      <c r="B22" s="12" t="s">
        <v>73</v>
      </c>
      <c r="C22" s="12" t="s">
        <v>102</v>
      </c>
      <c r="D22" s="12" t="s">
        <v>103</v>
      </c>
      <c r="E22" s="12" t="s">
        <v>52</v>
      </c>
      <c r="F22" s="12" t="n">
        <v>1</v>
      </c>
      <c r="G22" s="13"/>
      <c r="H22" s="13" t="str">
        <f aca="false">IF(G22="","",F22*G22)</f>
        <v/>
      </c>
      <c r="I22" s="12" t="s">
        <v>76</v>
      </c>
      <c r="J22" s="12" t="s">
        <v>104</v>
      </c>
      <c r="K22" s="12" t="s">
        <v>105</v>
      </c>
    </row>
    <row r="23" customFormat="false" ht="23.25" hidden="false" customHeight="true" outlineLevel="0" collapsed="false">
      <c r="A23" s="11" t="s">
        <v>91</v>
      </c>
      <c r="B23" s="12" t="s">
        <v>68</v>
      </c>
      <c r="C23" s="12" t="s">
        <v>106</v>
      </c>
      <c r="D23" s="12" t="s">
        <v>107</v>
      </c>
      <c r="E23" s="12" t="s">
        <v>52</v>
      </c>
      <c r="F23" s="12" t="n">
        <v>1</v>
      </c>
      <c r="G23" s="13"/>
      <c r="H23" s="13" t="str">
        <f aca="false">IF(G23="","",F23*G23)</f>
        <v/>
      </c>
      <c r="I23" s="12" t="s">
        <v>76</v>
      </c>
      <c r="J23" s="12" t="s">
        <v>104</v>
      </c>
      <c r="K23" s="12" t="s">
        <v>108</v>
      </c>
    </row>
    <row r="24" customFormat="false" ht="23.25" hidden="false" customHeight="true" outlineLevel="0" collapsed="false">
      <c r="A24" s="11" t="s">
        <v>91</v>
      </c>
      <c r="B24" s="12" t="s">
        <v>73</v>
      </c>
      <c r="C24" s="12" t="s">
        <v>109</v>
      </c>
      <c r="D24" s="12" t="s">
        <v>110</v>
      </c>
      <c r="E24" s="12" t="s">
        <v>52</v>
      </c>
      <c r="F24" s="12" t="n">
        <v>1</v>
      </c>
      <c r="G24" s="13"/>
      <c r="H24" s="13" t="str">
        <f aca="false">IF(G24="","",F24*G24)</f>
        <v/>
      </c>
      <c r="I24" s="12" t="s">
        <v>76</v>
      </c>
      <c r="J24" s="12" t="s">
        <v>104</v>
      </c>
      <c r="K24" s="12" t="s">
        <v>111</v>
      </c>
    </row>
    <row r="25" customFormat="false" ht="23.25" hidden="false" customHeight="true" outlineLevel="0" collapsed="false">
      <c r="A25" s="11" t="s">
        <v>91</v>
      </c>
      <c r="B25" s="12" t="s">
        <v>73</v>
      </c>
      <c r="C25" s="12" t="s">
        <v>112</v>
      </c>
      <c r="D25" s="12" t="s">
        <v>113</v>
      </c>
      <c r="E25" s="12" t="s">
        <v>114</v>
      </c>
      <c r="F25" s="12" t="n">
        <v>1</v>
      </c>
      <c r="G25" s="13"/>
      <c r="H25" s="13" t="str">
        <f aca="false">IF(G25="","",F25*G25)</f>
        <v/>
      </c>
      <c r="I25" s="12" t="s">
        <v>76</v>
      </c>
      <c r="J25" s="12" t="s">
        <v>115</v>
      </c>
      <c r="K25" s="12" t="s">
        <v>116</v>
      </c>
    </row>
    <row r="26" customFormat="false" ht="23.25" hidden="false" customHeight="true" outlineLevel="0" collapsed="false">
      <c r="A26" s="11" t="s">
        <v>91</v>
      </c>
      <c r="B26" s="12" t="s">
        <v>73</v>
      </c>
      <c r="C26" s="12" t="s">
        <v>117</v>
      </c>
      <c r="D26" s="12" t="s">
        <v>118</v>
      </c>
      <c r="E26" s="12" t="s">
        <v>119</v>
      </c>
      <c r="F26" s="12" t="n">
        <v>1</v>
      </c>
      <c r="G26" s="13"/>
      <c r="H26" s="13" t="str">
        <f aca="false">IF(G26="","",F26*G26)</f>
        <v/>
      </c>
      <c r="I26" s="12" t="s">
        <v>76</v>
      </c>
      <c r="J26" s="12" t="s">
        <v>115</v>
      </c>
      <c r="K26" s="12" t="s">
        <v>120</v>
      </c>
    </row>
    <row r="27" customFormat="false" ht="34.5" hidden="false" customHeight="true" outlineLevel="0" collapsed="false">
      <c r="A27" s="14" t="s">
        <v>121</v>
      </c>
      <c r="B27" s="15" t="s">
        <v>68</v>
      </c>
      <c r="C27" s="15" t="s">
        <v>122</v>
      </c>
      <c r="D27" s="15" t="s">
        <v>123</v>
      </c>
      <c r="E27" s="15" t="s">
        <v>124</v>
      </c>
      <c r="F27" s="15" t="n">
        <v>1</v>
      </c>
      <c r="G27" s="16" t="n">
        <v>55.3</v>
      </c>
      <c r="H27" s="16" t="n">
        <f aca="false">IF(G27="","",F27*G27)</f>
        <v>55.3</v>
      </c>
      <c r="I27" s="15" t="s">
        <v>125</v>
      </c>
      <c r="J27" s="15" t="s">
        <v>126</v>
      </c>
      <c r="K27" s="15" t="s">
        <v>127</v>
      </c>
    </row>
    <row r="28" customFormat="false" ht="34.5" hidden="false" customHeight="true" outlineLevel="0" collapsed="false">
      <c r="A28" s="14" t="s">
        <v>121</v>
      </c>
      <c r="B28" s="15" t="s">
        <v>68</v>
      </c>
      <c r="C28" s="15" t="s">
        <v>128</v>
      </c>
      <c r="D28" s="15" t="s">
        <v>129</v>
      </c>
      <c r="E28" s="15" t="s">
        <v>130</v>
      </c>
      <c r="F28" s="15" t="n">
        <v>1</v>
      </c>
      <c r="G28" s="16" t="n">
        <v>7.65</v>
      </c>
      <c r="H28" s="16" t="n">
        <f aca="false">IF(G28="","",F28*G28)</f>
        <v>7.65</v>
      </c>
      <c r="I28" s="15" t="s">
        <v>131</v>
      </c>
      <c r="J28" s="15" t="s">
        <v>126</v>
      </c>
      <c r="K28" s="15" t="s">
        <v>132</v>
      </c>
    </row>
    <row r="29" customFormat="false" ht="23.25" hidden="false" customHeight="true" outlineLevel="0" collapsed="false">
      <c r="A29" s="5" t="s">
        <v>133</v>
      </c>
      <c r="B29" s="6" t="s">
        <v>61</v>
      </c>
      <c r="C29" s="6" t="s">
        <v>134</v>
      </c>
      <c r="D29" s="6" t="s">
        <v>135</v>
      </c>
      <c r="E29" s="6" t="s">
        <v>136</v>
      </c>
      <c r="F29" s="6" t="n">
        <v>1</v>
      </c>
      <c r="G29" s="7"/>
      <c r="H29" s="7" t="str">
        <f aca="false">IF(G29="","",F29*G29)</f>
        <v/>
      </c>
      <c r="I29" s="6" t="s">
        <v>137</v>
      </c>
      <c r="J29" s="6" t="s">
        <v>138</v>
      </c>
      <c r="K29" s="6" t="s">
        <v>139</v>
      </c>
    </row>
    <row r="30" customFormat="false" ht="34.5" hidden="false" customHeight="true" outlineLevel="0" collapsed="false">
      <c r="A30" s="14" t="s">
        <v>121</v>
      </c>
      <c r="B30" s="15" t="s">
        <v>140</v>
      </c>
      <c r="C30" s="15" t="s">
        <v>141</v>
      </c>
      <c r="D30" s="15" t="s">
        <v>142</v>
      </c>
      <c r="E30" s="15" t="s">
        <v>143</v>
      </c>
      <c r="F30" s="15" t="n">
        <v>1</v>
      </c>
      <c r="G30" s="16" t="n">
        <v>47.33</v>
      </c>
      <c r="H30" s="16" t="n">
        <f aca="false">IF(G30="","",F30*G30)</f>
        <v>47.33</v>
      </c>
      <c r="I30" s="15" t="s">
        <v>144</v>
      </c>
      <c r="J30" s="15" t="s">
        <v>126</v>
      </c>
      <c r="K30" s="15" t="s">
        <v>145</v>
      </c>
    </row>
    <row r="31" customFormat="false" ht="34.5" hidden="false" customHeight="true" outlineLevel="0" collapsed="false">
      <c r="A31" s="14" t="s">
        <v>121</v>
      </c>
      <c r="B31" s="15" t="s">
        <v>140</v>
      </c>
      <c r="C31" s="15" t="s">
        <v>146</v>
      </c>
      <c r="D31" s="15" t="s">
        <v>147</v>
      </c>
      <c r="E31" s="15" t="s">
        <v>148</v>
      </c>
      <c r="F31" s="15" t="n">
        <v>1</v>
      </c>
      <c r="G31" s="16" t="n">
        <v>14.63</v>
      </c>
      <c r="H31" s="16" t="n">
        <f aca="false">IF(G31="","",F31*G31)</f>
        <v>14.63</v>
      </c>
      <c r="I31" s="15" t="s">
        <v>149</v>
      </c>
      <c r="J31" s="15" t="s">
        <v>150</v>
      </c>
      <c r="K31" s="15" t="s">
        <v>151</v>
      </c>
    </row>
    <row r="32" customFormat="false" ht="34.5" hidden="false" customHeight="true" outlineLevel="0" collapsed="false">
      <c r="A32" s="14" t="s">
        <v>121</v>
      </c>
      <c r="B32" s="15" t="s">
        <v>140</v>
      </c>
      <c r="C32" s="15" t="s">
        <v>152</v>
      </c>
      <c r="D32" s="15" t="s">
        <v>153</v>
      </c>
      <c r="E32" s="15" t="s">
        <v>154</v>
      </c>
      <c r="F32" s="15" t="n">
        <v>1</v>
      </c>
      <c r="G32" s="16" t="n">
        <v>14</v>
      </c>
      <c r="H32" s="16" t="n">
        <f aca="false">IF(G32="","",F32*G32)</f>
        <v>14</v>
      </c>
      <c r="I32" s="15" t="s">
        <v>155</v>
      </c>
      <c r="J32" s="15" t="s">
        <v>150</v>
      </c>
      <c r="K32" s="15" t="s">
        <v>156</v>
      </c>
    </row>
    <row r="33" customFormat="false" ht="23.25" hidden="false" customHeight="true" outlineLevel="0" collapsed="false">
      <c r="A33" s="14" t="s">
        <v>121</v>
      </c>
      <c r="B33" s="15" t="s">
        <v>61</v>
      </c>
      <c r="C33" s="15" t="s">
        <v>157</v>
      </c>
      <c r="D33" s="15" t="s">
        <v>158</v>
      </c>
      <c r="E33" s="15" t="s">
        <v>159</v>
      </c>
      <c r="F33" s="15" t="n">
        <v>2</v>
      </c>
      <c r="G33" s="16" t="n">
        <v>9.99</v>
      </c>
      <c r="H33" s="16" t="n">
        <f aca="false">IF(G33="","",F33*G33)</f>
        <v>19.98</v>
      </c>
      <c r="I33" s="15" t="s">
        <v>160</v>
      </c>
      <c r="J33" s="15" t="s">
        <v>126</v>
      </c>
      <c r="K33" s="15" t="s">
        <v>161</v>
      </c>
    </row>
    <row r="34" customFormat="false" ht="23.25" hidden="false" customHeight="true" outlineLevel="0" collapsed="false">
      <c r="A34" s="5" t="s">
        <v>133</v>
      </c>
      <c r="B34" s="6" t="s">
        <v>140</v>
      </c>
      <c r="C34" s="6" t="s">
        <v>162</v>
      </c>
      <c r="D34" s="6" t="s">
        <v>163</v>
      </c>
      <c r="E34" s="6" t="s">
        <v>164</v>
      </c>
      <c r="F34" s="6" t="n">
        <v>1</v>
      </c>
      <c r="G34" s="7" t="n">
        <v>109</v>
      </c>
      <c r="H34" s="7" t="n">
        <f aca="false">IF(G34="","",F34*G34)</f>
        <v>109</v>
      </c>
      <c r="I34" s="6" t="s">
        <v>165</v>
      </c>
      <c r="J34" s="6" t="s">
        <v>166</v>
      </c>
      <c r="K34" s="6" t="s">
        <v>167</v>
      </c>
    </row>
    <row r="35" customFormat="false" ht="34.5" hidden="false" customHeight="true" outlineLevel="0" collapsed="false">
      <c r="A35" s="5" t="s">
        <v>133</v>
      </c>
      <c r="B35" s="6" t="s">
        <v>73</v>
      </c>
      <c r="C35" s="6" t="s">
        <v>168</v>
      </c>
      <c r="D35" s="6" t="s">
        <v>169</v>
      </c>
      <c r="E35" s="6" t="s">
        <v>170</v>
      </c>
      <c r="F35" s="6" t="n">
        <v>1</v>
      </c>
      <c r="G35" s="7" t="n">
        <v>24</v>
      </c>
      <c r="H35" s="7" t="n">
        <f aca="false">IF(G35="","",F35*G35)</f>
        <v>24</v>
      </c>
      <c r="I35" s="6" t="s">
        <v>155</v>
      </c>
      <c r="J35" s="6" t="s">
        <v>171</v>
      </c>
      <c r="K35" s="6" t="s">
        <v>172</v>
      </c>
    </row>
    <row r="36" customFormat="false" ht="23.25" hidden="false" customHeight="true" outlineLevel="0" collapsed="false">
      <c r="A36" s="5" t="s">
        <v>133</v>
      </c>
      <c r="B36" s="6" t="s">
        <v>55</v>
      </c>
      <c r="C36" s="6" t="s">
        <v>173</v>
      </c>
      <c r="D36" s="6" t="s">
        <v>174</v>
      </c>
      <c r="E36" s="6" t="s">
        <v>175</v>
      </c>
      <c r="F36" s="6" t="n">
        <v>1</v>
      </c>
      <c r="G36" s="7"/>
      <c r="H36" s="7" t="str">
        <f aca="false">IF(G36="","",F36*G36)</f>
        <v/>
      </c>
      <c r="I36" s="6" t="s">
        <v>176</v>
      </c>
      <c r="J36" s="6" t="s">
        <v>177</v>
      </c>
      <c r="K36" s="6" t="s">
        <v>178</v>
      </c>
    </row>
    <row r="37" customFormat="false" ht="23.25" hidden="false" customHeight="true" outlineLevel="0" collapsed="false">
      <c r="A37" s="5" t="s">
        <v>133</v>
      </c>
      <c r="B37" s="6" t="s">
        <v>61</v>
      </c>
      <c r="C37" s="6" t="s">
        <v>179</v>
      </c>
      <c r="D37" s="6" t="s">
        <v>180</v>
      </c>
      <c r="E37" s="6" t="s">
        <v>181</v>
      </c>
      <c r="F37" s="6" t="n">
        <v>1</v>
      </c>
      <c r="G37" s="7"/>
      <c r="H37" s="7" t="str">
        <f aca="false">IF(G37="","",F37*G37)</f>
        <v/>
      </c>
      <c r="I37" s="6" t="s">
        <v>182</v>
      </c>
      <c r="J37" s="6" t="s">
        <v>177</v>
      </c>
      <c r="K37" s="6" t="s">
        <v>183</v>
      </c>
    </row>
    <row r="38" customFormat="false" ht="23.25" hidden="false" customHeight="true" outlineLevel="0" collapsed="false">
      <c r="A38" s="5" t="s">
        <v>184</v>
      </c>
      <c r="B38" s="6" t="s">
        <v>185</v>
      </c>
      <c r="C38" s="6" t="s">
        <v>186</v>
      </c>
      <c r="D38" s="6" t="s">
        <v>187</v>
      </c>
      <c r="E38" s="6" t="s">
        <v>148</v>
      </c>
      <c r="F38" s="6" t="n">
        <v>1</v>
      </c>
      <c r="G38" s="7" t="n">
        <v>8</v>
      </c>
      <c r="H38" s="7" t="n">
        <f aca="false">IF(G38="","",F38*G38)</f>
        <v>8</v>
      </c>
      <c r="I38" s="6" t="s">
        <v>188</v>
      </c>
      <c r="J38" s="6" t="s">
        <v>189</v>
      </c>
      <c r="K38" s="6" t="s">
        <v>190</v>
      </c>
    </row>
    <row r="39" customFormat="false" ht="23.25" hidden="false" customHeight="true" outlineLevel="0" collapsed="false">
      <c r="A39" s="5" t="s">
        <v>184</v>
      </c>
      <c r="B39" s="6" t="s">
        <v>185</v>
      </c>
      <c r="C39" s="6" t="s">
        <v>191</v>
      </c>
      <c r="D39" s="6" t="s">
        <v>192</v>
      </c>
      <c r="E39" s="6" t="s">
        <v>193</v>
      </c>
      <c r="F39" s="6" t="n">
        <v>2</v>
      </c>
      <c r="G39" s="7" t="n">
        <v>18</v>
      </c>
      <c r="H39" s="7" t="n">
        <f aca="false">IF(G39="","",F39*G39)</f>
        <v>36</v>
      </c>
      <c r="I39" s="6" t="s">
        <v>188</v>
      </c>
      <c r="J39" s="6" t="s">
        <v>189</v>
      </c>
      <c r="K39" s="6" t="s">
        <v>194</v>
      </c>
    </row>
    <row r="40" customFormat="false" ht="23.25" hidden="false" customHeight="true" outlineLevel="0" collapsed="false">
      <c r="A40" s="5" t="s">
        <v>184</v>
      </c>
      <c r="B40" s="6" t="s">
        <v>185</v>
      </c>
      <c r="C40" s="6" t="s">
        <v>195</v>
      </c>
      <c r="D40" s="6" t="s">
        <v>196</v>
      </c>
      <c r="E40" s="6" t="s">
        <v>197</v>
      </c>
      <c r="F40" s="6" t="n">
        <v>3</v>
      </c>
      <c r="G40" s="7" t="n">
        <v>6</v>
      </c>
      <c r="H40" s="7" t="n">
        <f aca="false">IF(G40="","",F40*G40)</f>
        <v>18</v>
      </c>
      <c r="I40" s="6" t="s">
        <v>188</v>
      </c>
      <c r="J40" s="6" t="s">
        <v>189</v>
      </c>
      <c r="K40" s="6" t="s">
        <v>198</v>
      </c>
    </row>
    <row r="41" customFormat="false" ht="23.25" hidden="false" customHeight="true" outlineLevel="0" collapsed="false">
      <c r="A41" s="5" t="s">
        <v>184</v>
      </c>
      <c r="B41" s="6" t="s">
        <v>185</v>
      </c>
      <c r="C41" s="6" t="s">
        <v>199</v>
      </c>
      <c r="D41" s="6" t="s">
        <v>200</v>
      </c>
      <c r="E41" s="6" t="s">
        <v>201</v>
      </c>
      <c r="F41" s="6" t="n">
        <v>1</v>
      </c>
      <c r="G41" s="7" t="n">
        <v>15</v>
      </c>
      <c r="H41" s="7" t="n">
        <f aca="false">IF(G41="","",F41*G41)</f>
        <v>15</v>
      </c>
      <c r="I41" s="6" t="s">
        <v>188</v>
      </c>
      <c r="J41" s="6" t="s">
        <v>189</v>
      </c>
      <c r="K41" s="6" t="s">
        <v>202</v>
      </c>
    </row>
    <row r="42" customFormat="false" ht="23.25" hidden="false" customHeight="true" outlineLevel="0" collapsed="false">
      <c r="A42" s="5" t="s">
        <v>184</v>
      </c>
      <c r="B42" s="6" t="s">
        <v>61</v>
      </c>
      <c r="C42" s="6" t="s">
        <v>203</v>
      </c>
      <c r="D42" s="6" t="s">
        <v>204</v>
      </c>
      <c r="E42" s="6" t="s">
        <v>205</v>
      </c>
      <c r="F42" s="6" t="n">
        <v>1</v>
      </c>
      <c r="G42" s="7" t="n">
        <v>35</v>
      </c>
      <c r="H42" s="7" t="n">
        <f aca="false">IF(G42="","",F42*G42)</f>
        <v>35</v>
      </c>
      <c r="I42" s="6" t="s">
        <v>188</v>
      </c>
      <c r="J42" s="6" t="s">
        <v>206</v>
      </c>
      <c r="K42" s="6" t="s">
        <v>207</v>
      </c>
    </row>
    <row r="43" customFormat="false" ht="23.25" hidden="false" customHeight="true" outlineLevel="0" collapsed="false">
      <c r="A43" s="5" t="s">
        <v>184</v>
      </c>
      <c r="B43" s="6" t="s">
        <v>61</v>
      </c>
      <c r="C43" s="6" t="s">
        <v>208</v>
      </c>
      <c r="D43" s="6" t="s">
        <v>209</v>
      </c>
      <c r="E43" s="6" t="s">
        <v>210</v>
      </c>
      <c r="F43" s="6" t="n">
        <v>1</v>
      </c>
      <c r="G43" s="7"/>
      <c r="H43" s="7" t="str">
        <f aca="false">IF(G43="","",F43*G43)</f>
        <v/>
      </c>
      <c r="I43" s="6" t="s">
        <v>211</v>
      </c>
      <c r="J43" s="6" t="s">
        <v>189</v>
      </c>
      <c r="K43" s="6" t="s">
        <v>212</v>
      </c>
    </row>
    <row r="44" customFormat="false" ht="23.25" hidden="false" customHeight="true" outlineLevel="0" collapsed="false">
      <c r="A44" s="5" t="s">
        <v>184</v>
      </c>
      <c r="B44" s="6" t="s">
        <v>61</v>
      </c>
      <c r="C44" s="6" t="s">
        <v>213</v>
      </c>
      <c r="D44" s="6" t="s">
        <v>214</v>
      </c>
      <c r="E44" s="6" t="s">
        <v>215</v>
      </c>
      <c r="F44" s="6" t="n">
        <v>3</v>
      </c>
      <c r="G44" s="7" t="n">
        <v>2</v>
      </c>
      <c r="H44" s="7" t="n">
        <f aca="false">IF(G44="","",F44*G44)</f>
        <v>6</v>
      </c>
      <c r="I44" s="6" t="s">
        <v>188</v>
      </c>
      <c r="J44" s="6" t="s">
        <v>189</v>
      </c>
      <c r="K44" s="6" t="s">
        <v>216</v>
      </c>
    </row>
    <row r="45" customFormat="false" ht="15" hidden="false" customHeight="true" outlineLevel="0" collapsed="false">
      <c r="A45" s="5" t="s">
        <v>184</v>
      </c>
      <c r="B45" s="6" t="s">
        <v>61</v>
      </c>
      <c r="C45" s="6" t="s">
        <v>217</v>
      </c>
      <c r="D45" s="6" t="s">
        <v>218</v>
      </c>
      <c r="E45" s="6" t="s">
        <v>219</v>
      </c>
      <c r="F45" s="6" t="n">
        <v>1</v>
      </c>
      <c r="G45" s="7" t="n">
        <v>6</v>
      </c>
      <c r="H45" s="7" t="n">
        <f aca="false">IF(G45="","",F45*G45)</f>
        <v>6</v>
      </c>
      <c r="I45" s="6" t="s">
        <v>188</v>
      </c>
      <c r="J45" s="6" t="s">
        <v>189</v>
      </c>
      <c r="K45" s="6" t="s">
        <v>220</v>
      </c>
    </row>
    <row r="46" customFormat="false" ht="15" hidden="false" customHeight="true" outlineLevel="0" collapsed="false">
      <c r="A46" s="5" t="s">
        <v>184</v>
      </c>
      <c r="B46" s="6" t="s">
        <v>61</v>
      </c>
      <c r="C46" s="6" t="s">
        <v>221</v>
      </c>
      <c r="D46" s="6" t="s">
        <v>222</v>
      </c>
      <c r="E46" s="6" t="s">
        <v>64</v>
      </c>
      <c r="F46" s="6" t="n">
        <v>1</v>
      </c>
      <c r="G46" s="7" t="n">
        <v>25</v>
      </c>
      <c r="H46" s="7" t="n">
        <f aca="false">IF(G46="","",F46*G46)</f>
        <v>25</v>
      </c>
      <c r="I46" s="6" t="s">
        <v>188</v>
      </c>
      <c r="J46" s="6" t="s">
        <v>189</v>
      </c>
      <c r="K46" s="6" t="s">
        <v>223</v>
      </c>
    </row>
    <row r="47" customFormat="false" ht="15" hidden="false" customHeight="true" outlineLevel="0" collapsed="false">
      <c r="A47" s="5" t="s">
        <v>224</v>
      </c>
      <c r="B47" s="6" t="s">
        <v>61</v>
      </c>
      <c r="C47" s="6" t="s">
        <v>225</v>
      </c>
      <c r="D47" s="6" t="s">
        <v>226</v>
      </c>
      <c r="E47" s="6" t="s">
        <v>227</v>
      </c>
      <c r="F47" s="6" t="n">
        <v>1</v>
      </c>
      <c r="G47" s="7"/>
      <c r="H47" s="7" t="str">
        <f aca="false">IF(G47="","",F47*G47)</f>
        <v/>
      </c>
      <c r="I47" s="6" t="s">
        <v>228</v>
      </c>
      <c r="J47" s="6" t="s">
        <v>229</v>
      </c>
      <c r="K47" s="6" t="s">
        <v>230</v>
      </c>
    </row>
    <row r="48" customFormat="false" ht="23.25" hidden="false" customHeight="true" outlineLevel="0" collapsed="false">
      <c r="A48" s="5" t="s">
        <v>224</v>
      </c>
      <c r="B48" s="6" t="s">
        <v>61</v>
      </c>
      <c r="C48" s="6" t="s">
        <v>231</v>
      </c>
      <c r="D48" s="6" t="s">
        <v>232</v>
      </c>
      <c r="E48" s="6" t="s">
        <v>227</v>
      </c>
      <c r="F48" s="6" t="n">
        <v>1</v>
      </c>
      <c r="G48" s="7"/>
      <c r="H48" s="7" t="str">
        <f aca="false">IF(G48="","",F48*G48)</f>
        <v/>
      </c>
      <c r="I48" s="6" t="s">
        <v>228</v>
      </c>
      <c r="J48" s="6" t="s">
        <v>229</v>
      </c>
      <c r="K48" s="6" t="s">
        <v>233</v>
      </c>
    </row>
    <row r="49" customFormat="false" ht="15" hidden="false" customHeight="true" outlineLevel="0" collapsed="false">
      <c r="A49" s="5" t="s">
        <v>224</v>
      </c>
      <c r="B49" s="6" t="s">
        <v>61</v>
      </c>
      <c r="C49" s="6" t="s">
        <v>234</v>
      </c>
      <c r="D49" s="6" t="s">
        <v>235</v>
      </c>
      <c r="E49" s="6" t="s">
        <v>227</v>
      </c>
      <c r="F49" s="6" t="n">
        <v>2</v>
      </c>
      <c r="G49" s="7"/>
      <c r="H49" s="7" t="str">
        <f aca="false">IF(G49="","",F49*G49)</f>
        <v/>
      </c>
      <c r="I49" s="6" t="s">
        <v>228</v>
      </c>
      <c r="J49" s="6" t="s">
        <v>229</v>
      </c>
      <c r="K49" s="6" t="s">
        <v>236</v>
      </c>
    </row>
    <row r="50" customFormat="false" ht="23.25" hidden="false" customHeight="true" outlineLevel="0" collapsed="false">
      <c r="A50" s="5" t="s">
        <v>224</v>
      </c>
      <c r="B50" s="6" t="s">
        <v>61</v>
      </c>
      <c r="C50" s="6" t="s">
        <v>237</v>
      </c>
      <c r="D50" s="6" t="s">
        <v>238</v>
      </c>
      <c r="E50" s="6" t="s">
        <v>227</v>
      </c>
      <c r="F50" s="6" t="n">
        <v>1</v>
      </c>
      <c r="G50" s="7"/>
      <c r="H50" s="7" t="str">
        <f aca="false">IF(G50="","",F50*G50)</f>
        <v/>
      </c>
      <c r="I50" s="6" t="s">
        <v>228</v>
      </c>
      <c r="J50" s="6" t="s">
        <v>229</v>
      </c>
      <c r="K50" s="6" t="s">
        <v>239</v>
      </c>
    </row>
    <row r="51" customFormat="false" ht="23.25" hidden="false" customHeight="true" outlineLevel="0" collapsed="false">
      <c r="A51" s="5" t="s">
        <v>224</v>
      </c>
      <c r="B51" s="6" t="s">
        <v>61</v>
      </c>
      <c r="C51" s="6" t="s">
        <v>240</v>
      </c>
      <c r="D51" s="6" t="s">
        <v>241</v>
      </c>
      <c r="E51" s="6" t="s">
        <v>227</v>
      </c>
      <c r="F51" s="6" t="n">
        <v>1</v>
      </c>
      <c r="G51" s="7"/>
      <c r="H51" s="7" t="str">
        <f aca="false">IF(G51="","",F51*G51)</f>
        <v/>
      </c>
      <c r="I51" s="6" t="s">
        <v>228</v>
      </c>
      <c r="J51" s="6" t="s">
        <v>229</v>
      </c>
      <c r="K51" s="6" t="s">
        <v>242</v>
      </c>
    </row>
    <row r="52" customFormat="false" ht="23.25" hidden="false" customHeight="true" outlineLevel="0" collapsed="false">
      <c r="A52" s="5" t="s">
        <v>224</v>
      </c>
      <c r="B52" s="6" t="s">
        <v>61</v>
      </c>
      <c r="C52" s="6" t="s">
        <v>243</v>
      </c>
      <c r="D52" s="6" t="s">
        <v>244</v>
      </c>
      <c r="E52" s="6" t="s">
        <v>227</v>
      </c>
      <c r="F52" s="6" t="n">
        <v>1</v>
      </c>
      <c r="G52" s="7"/>
      <c r="H52" s="7" t="str">
        <f aca="false">IF(G52="","",F52*G52)</f>
        <v/>
      </c>
      <c r="I52" s="6" t="s">
        <v>228</v>
      </c>
      <c r="J52" s="6" t="s">
        <v>229</v>
      </c>
      <c r="K52" s="6" t="s">
        <v>245</v>
      </c>
    </row>
    <row r="53" customFormat="false" ht="23.25" hidden="false" customHeight="true" outlineLevel="0" collapsed="false"/>
    <row r="54" customFormat="false" ht="15" hidden="false" customHeight="true" outlineLevel="0" collapsed="false">
      <c r="A54" s="6"/>
      <c r="B54" s="6"/>
      <c r="C54" s="17" t="s">
        <v>246</v>
      </c>
      <c r="D54" s="6"/>
      <c r="E54" s="6"/>
      <c r="F54" s="6"/>
      <c r="G54" s="6"/>
      <c r="H54" s="18" t="n">
        <f aca="false">SUM(H5:H52)</f>
        <v>440.89</v>
      </c>
      <c r="I54" s="6"/>
      <c r="J54" s="6"/>
      <c r="K54" s="6" t="s">
        <v>247</v>
      </c>
    </row>
    <row r="55" customFormat="false" ht="15" hidden="false" customHeight="true" outlineLevel="0" collapsed="false"/>
    <row r="56" customFormat="false" ht="15" hidden="false" customHeight="true" outlineLevel="0" collapsed="false">
      <c r="A56" s="19" t="s">
        <v>248</v>
      </c>
    </row>
    <row r="57" customFormat="false" ht="15" hidden="false" customHeight="true" outlineLevel="0" collapsed="false">
      <c r="A57" s="20" t="s">
        <v>249</v>
      </c>
    </row>
    <row r="58" customFormat="false" ht="15" hidden="false" customHeight="true" outlineLevel="0" collapsed="false">
      <c r="A58" s="20" t="s">
        <v>250</v>
      </c>
    </row>
    <row r="59" customFormat="false" ht="15" hidden="false" customHeight="true" outlineLevel="0" collapsed="false">
      <c r="A59" s="20" t="s">
        <v>251</v>
      </c>
    </row>
    <row r="60" customFormat="false" ht="15" hidden="false" customHeight="true" outlineLevel="0" collapsed="false">
      <c r="A60" s="20" t="s">
        <v>252</v>
      </c>
    </row>
    <row r="61" customFormat="false" ht="15" hidden="false" customHeight="true" outlineLevel="0" collapsed="false">
      <c r="A61" s="20" t="s">
        <v>253</v>
      </c>
    </row>
    <row r="62" customFormat="false" ht="15" hidden="false" customHeight="true" outlineLevel="0" collapsed="false">
      <c r="A62" s="20" t="s">
        <v>254</v>
      </c>
    </row>
    <row r="63" customFormat="false" ht="15" hidden="false" customHeight="false" outlineLevel="0" collapsed="false">
      <c r="A63" s="20" t="s">
        <v>255</v>
      </c>
    </row>
  </sheetData>
  <autoFilter ref="A4:K5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21" width="32"/>
    <col collapsed="false" customWidth="true" hidden="false" outlineLevel="0" max="2" min="2" style="21" width="46"/>
    <col collapsed="false" customWidth="true" hidden="false" outlineLevel="0" max="3" min="3" style="21" width="11"/>
    <col collapsed="false" customWidth="true" hidden="false" outlineLevel="0" max="4" min="4" style="21" width="14"/>
  </cols>
  <sheetData>
    <row r="1" customFormat="false" ht="17.25" hidden="false" customHeight="true" outlineLevel="0" collapsed="false">
      <c r="A1" s="2" t="s">
        <v>256</v>
      </c>
    </row>
    <row r="2" customFormat="false" ht="51.75" hidden="false" customHeight="true" outlineLevel="0" collapsed="false">
      <c r="A2" s="3" t="s">
        <v>257</v>
      </c>
    </row>
    <row r="4" customFormat="false" ht="26.25" hidden="false" customHeight="true" outlineLevel="0" collapsed="false">
      <c r="A4" s="4" t="s">
        <v>2</v>
      </c>
      <c r="B4" s="4" t="s">
        <v>258</v>
      </c>
      <c r="C4" s="4" t="s">
        <v>259</v>
      </c>
      <c r="D4" s="4" t="s">
        <v>260</v>
      </c>
    </row>
    <row r="5" customFormat="false" ht="15" hidden="false" customHeight="true" outlineLevel="0" collapsed="false">
      <c r="A5" s="5" t="s">
        <v>13</v>
      </c>
      <c r="B5" s="6" t="s">
        <v>261</v>
      </c>
      <c r="C5" s="22" t="n">
        <f aca="false">COUNTIF(Compras!$A$5:$A$52,$A5)</f>
        <v>13</v>
      </c>
      <c r="D5" s="23" t="n">
        <f aca="false">SUMIF(Compras!$A$5:$A$52,$A5,Compras!$H$5:$H$52)</f>
        <v>0</v>
      </c>
    </row>
    <row r="6" customFormat="false" ht="15" hidden="false" customHeight="true" outlineLevel="0" collapsed="false">
      <c r="A6" s="5" t="s">
        <v>91</v>
      </c>
      <c r="B6" s="6" t="s">
        <v>262</v>
      </c>
      <c r="C6" s="22" t="n">
        <f aca="false">COUNTIF(Compras!$A$5:$A$52,$A6)</f>
        <v>7</v>
      </c>
      <c r="D6" s="23" t="n">
        <f aca="false">SUMIF(Compras!$A$5:$A$52,$A6,Compras!$H$5:$H$52)</f>
        <v>0</v>
      </c>
    </row>
    <row r="7" customFormat="false" ht="23.25" hidden="false" customHeight="true" outlineLevel="0" collapsed="false">
      <c r="A7" s="14" t="s">
        <v>121</v>
      </c>
      <c r="B7" s="15" t="s">
        <v>263</v>
      </c>
      <c r="C7" s="24" t="n">
        <f aca="false">COUNTIF(Compras!$A$5:$A$52,$A7)</f>
        <v>6</v>
      </c>
      <c r="D7" s="25" t="n">
        <f aca="false">SUMIF(Compras!$A$5:$A$52,$A7,Compras!$H$5:$H$52)</f>
        <v>158.89</v>
      </c>
    </row>
    <row r="8" customFormat="false" ht="15" hidden="false" customHeight="true" outlineLevel="0" collapsed="false">
      <c r="A8" s="5" t="s">
        <v>133</v>
      </c>
      <c r="B8" s="6" t="s">
        <v>264</v>
      </c>
      <c r="C8" s="22" t="n">
        <f aca="false">COUNTIF(Compras!$A$5:$A$52,$A8)</f>
        <v>5</v>
      </c>
      <c r="D8" s="23" t="n">
        <f aca="false">SUMIF(Compras!$A$5:$A$52,$A8,Compras!$H$5:$H$52)</f>
        <v>133</v>
      </c>
    </row>
    <row r="9" customFormat="false" ht="15" hidden="false" customHeight="true" outlineLevel="0" collapsed="false">
      <c r="A9" s="5" t="s">
        <v>184</v>
      </c>
      <c r="B9" s="6" t="s">
        <v>265</v>
      </c>
      <c r="C9" s="22" t="n">
        <f aca="false">COUNTIF(Compras!$A$5:$A$52,$A9)</f>
        <v>9</v>
      </c>
      <c r="D9" s="23" t="n">
        <f aca="false">SUMIF(Compras!$A$5:$A$52,$A9,Compras!$H$5:$H$52)</f>
        <v>149</v>
      </c>
    </row>
    <row r="10" customFormat="false" ht="15" hidden="false" customHeight="true" outlineLevel="0" collapsed="false">
      <c r="A10" s="5" t="s">
        <v>224</v>
      </c>
      <c r="B10" s="6" t="s">
        <v>266</v>
      </c>
      <c r="C10" s="22" t="n">
        <f aca="false">COUNTIF(Compras!$A$5:$A$52,$A10)</f>
        <v>6</v>
      </c>
      <c r="D10" s="23" t="n">
        <f aca="false">SUMIF(Compras!$A$5:$A$52,$A10,Compras!$H$5:$H$52)</f>
        <v>0</v>
      </c>
    </row>
    <row r="11" customFormat="false" ht="23.25" hidden="false" customHeight="true" outlineLevel="0" collapsed="false">
      <c r="A11" s="8" t="s">
        <v>78</v>
      </c>
      <c r="B11" s="9" t="s">
        <v>267</v>
      </c>
      <c r="C11" s="26" t="n">
        <f aca="false">COUNTIF(Compras!$A$5:$A$52,$A11)</f>
        <v>2</v>
      </c>
      <c r="D11" s="27" t="n">
        <f aca="false">SUMIF(Compras!$A$5:$A$52,$A11,Compras!$H$5:$H$52)</f>
        <v>0</v>
      </c>
    </row>
    <row r="13" customFormat="false" ht="15" hidden="false" customHeight="true" outlineLevel="0" collapsed="false">
      <c r="A13" s="5" t="s">
        <v>268</v>
      </c>
      <c r="D13" s="28" t="n">
        <f aca="false">SUMIF(Compras!$A$5:$A$52,"3 · COMPRAR AGORA",Compras!$H$5:$H$52)</f>
        <v>158.89</v>
      </c>
    </row>
    <row r="14" customFormat="false" ht="34.5" hidden="false" customHeight="true" outlineLevel="0" collapsed="false">
      <c r="A14" s="5" t="s">
        <v>269</v>
      </c>
      <c r="D14" s="28" t="n">
        <f aca="false">SUM(Compras!$H$5:$H$52)</f>
        <v>440.89</v>
      </c>
    </row>
    <row r="15" customFormat="false" ht="23.25" hidden="false" customHeight="true" outlineLevel="0" collapsed="false">
      <c r="A15" s="5" t="s">
        <v>270</v>
      </c>
      <c r="D15" s="28" t="n">
        <f aca="false">-109</f>
        <v>-109</v>
      </c>
    </row>
    <row r="16" customFormat="false" ht="15" hidden="false" customHeight="true" outlineLevel="0" collapsed="false">
      <c r="A16" s="5" t="s">
        <v>271</v>
      </c>
      <c r="D16" s="28" t="n">
        <f aca="false">1000</f>
        <v>1000</v>
      </c>
    </row>
    <row r="17" customFormat="false" ht="15" hidden="false" customHeight="true" outlineLevel="0" collapsed="false">
      <c r="A17" s="5" t="s">
        <v>272</v>
      </c>
      <c r="D17" s="28" t="n">
        <f aca="false">D16-D14</f>
        <v>559.11</v>
      </c>
    </row>
    <row r="19" customFormat="false" ht="15" hidden="false" customHeight="true" outlineLevel="0" collapsed="false">
      <c r="A19" s="29" t="s">
        <v>273</v>
      </c>
    </row>
    <row r="20" customFormat="false" ht="23.25" hidden="false" customHeight="true" outlineLevel="0" collapsed="false">
      <c r="A20" s="30" t="s">
        <v>274</v>
      </c>
      <c r="B20" s="30"/>
      <c r="C20" s="30"/>
      <c r="D20" s="30"/>
    </row>
    <row r="21" customFormat="false" ht="23.25" hidden="false" customHeight="true" outlineLevel="0" collapsed="false">
      <c r="A21" s="30" t="s">
        <v>275</v>
      </c>
      <c r="B21" s="30"/>
      <c r="C21" s="30"/>
      <c r="D21" s="30"/>
    </row>
    <row r="22" customFormat="false" ht="15" hidden="false" customHeight="true" outlineLevel="0" collapsed="false">
      <c r="A22" s="30" t="s">
        <v>276</v>
      </c>
      <c r="B22" s="30"/>
      <c r="C22" s="30"/>
      <c r="D22" s="30"/>
    </row>
    <row r="23" customFormat="false" ht="23.25" hidden="false" customHeight="true" outlineLevel="0" collapsed="false">
      <c r="A23" s="30" t="s">
        <v>277</v>
      </c>
      <c r="B23" s="30"/>
      <c r="C23" s="30"/>
      <c r="D23" s="30"/>
    </row>
    <row r="24" customFormat="false" ht="15" hidden="false" customHeight="true" outlineLevel="0" collapsed="false">
      <c r="A24" s="30" t="s">
        <v>278</v>
      </c>
      <c r="B24" s="30"/>
      <c r="C24" s="30"/>
      <c r="D24" s="30"/>
    </row>
    <row r="25" customFormat="false" ht="15" hidden="false" customHeight="true" outlineLevel="0" collapsed="false">
      <c r="A25" s="30" t="s">
        <v>279</v>
      </c>
      <c r="B25" s="30"/>
      <c r="C25" s="30"/>
      <c r="D25" s="30"/>
    </row>
    <row r="26" customFormat="false" ht="15" hidden="false" customHeight="true" outlineLevel="0" collapsed="false">
      <c r="A26" s="30" t="s">
        <v>280</v>
      </c>
      <c r="B26" s="30"/>
      <c r="C26" s="30"/>
      <c r="D26" s="30"/>
    </row>
    <row r="27" customFormat="false" ht="15" hidden="false" customHeight="true" outlineLevel="0" collapsed="false">
      <c r="A27" s="30" t="s">
        <v>281</v>
      </c>
      <c r="B27" s="30"/>
      <c r="C27" s="30"/>
      <c r="D27" s="30"/>
    </row>
    <row r="28" customFormat="false" ht="15" hidden="false" customHeight="true" outlineLevel="0" collapsed="false">
      <c r="A28" s="30" t="s">
        <v>282</v>
      </c>
      <c r="B28" s="30"/>
      <c r="C28" s="30"/>
      <c r="D28" s="30"/>
    </row>
  </sheetData>
  <mergeCells count="9"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11"/>
    <col collapsed="false" customWidth="true" hidden="false" outlineLevel="0" max="3" min="3" style="1" width="18"/>
    <col collapsed="false" customWidth="true" hidden="false" outlineLevel="0" max="4" min="4" style="1" width="20"/>
    <col collapsed="false" customWidth="true" hidden="false" outlineLevel="0" max="5" min="5" style="1" width="78"/>
  </cols>
  <sheetData>
    <row r="1" customFormat="false" ht="17.25" hidden="false" customHeight="true" outlineLevel="0" collapsed="false">
      <c r="A1" s="2" t="s">
        <v>283</v>
      </c>
    </row>
    <row r="2" customFormat="false" ht="21.75" hidden="false" customHeight="true" outlineLevel="0" collapsed="false">
      <c r="A2" s="3" t="s">
        <v>284</v>
      </c>
    </row>
    <row r="4" customFormat="false" ht="15" hidden="false" customHeight="true" outlineLevel="0" collapsed="false">
      <c r="A4" s="4" t="s">
        <v>285</v>
      </c>
      <c r="B4" s="4" t="s">
        <v>286</v>
      </c>
      <c r="C4" s="4" t="s">
        <v>287</v>
      </c>
      <c r="D4" s="4" t="s">
        <v>288</v>
      </c>
      <c r="E4" s="4" t="s">
        <v>289</v>
      </c>
    </row>
    <row r="5" customFormat="false" ht="23.25" hidden="false" customHeight="true" outlineLevel="0" collapsed="false">
      <c r="A5" s="5" t="s">
        <v>290</v>
      </c>
      <c r="B5" s="31"/>
      <c r="C5" s="6" t="s">
        <v>291</v>
      </c>
      <c r="D5" s="6" t="s">
        <v>292</v>
      </c>
      <c r="E5" s="6" t="s">
        <v>293</v>
      </c>
    </row>
    <row r="6" customFormat="false" ht="23.25" hidden="false" customHeight="true" outlineLevel="0" collapsed="false">
      <c r="A6" s="5" t="s">
        <v>294</v>
      </c>
      <c r="B6" s="31"/>
      <c r="C6" s="6" t="s">
        <v>295</v>
      </c>
      <c r="D6" s="6" t="s">
        <v>296</v>
      </c>
      <c r="E6" s="6" t="s">
        <v>297</v>
      </c>
    </row>
    <row r="7" customFormat="false" ht="23.25" hidden="false" customHeight="true" outlineLevel="0" collapsed="false">
      <c r="A7" s="5" t="s">
        <v>298</v>
      </c>
      <c r="B7" s="31"/>
      <c r="C7" s="6" t="s">
        <v>299</v>
      </c>
      <c r="D7" s="6" t="s">
        <v>300</v>
      </c>
      <c r="E7" s="6" t="s">
        <v>301</v>
      </c>
    </row>
    <row r="8" customFormat="false" ht="23.25" hidden="false" customHeight="true" outlineLevel="0" collapsed="false">
      <c r="A8" s="5" t="s">
        <v>302</v>
      </c>
      <c r="B8" s="31" t="n">
        <v>59.9</v>
      </c>
      <c r="C8" s="6" t="s">
        <v>303</v>
      </c>
      <c r="D8" s="6" t="s">
        <v>304</v>
      </c>
      <c r="E8" s="6" t="s">
        <v>305</v>
      </c>
    </row>
    <row r="9" customFormat="false" ht="23.25" hidden="false" customHeight="true" outlineLevel="0" collapsed="false">
      <c r="A9" s="5" t="s">
        <v>306</v>
      </c>
      <c r="B9" s="31"/>
      <c r="C9" s="6" t="s">
        <v>307</v>
      </c>
      <c r="D9" s="6" t="s">
        <v>308</v>
      </c>
      <c r="E9" s="6" t="s">
        <v>309</v>
      </c>
    </row>
    <row r="10" customFormat="false" ht="23.25" hidden="false" customHeight="true" outlineLevel="0" collapsed="false">
      <c r="A10" s="5" t="s">
        <v>310</v>
      </c>
      <c r="B10" s="31"/>
      <c r="C10" s="6" t="s">
        <v>311</v>
      </c>
      <c r="D10" s="6" t="s">
        <v>312</v>
      </c>
      <c r="E10" s="6" t="s">
        <v>313</v>
      </c>
    </row>
    <row r="11" customFormat="false" ht="15" hidden="false" customHeight="true" outlineLevel="0" collapsed="false">
      <c r="A11" s="14" t="s">
        <v>237</v>
      </c>
      <c r="B11" s="32"/>
      <c r="C11" s="15" t="s">
        <v>311</v>
      </c>
      <c r="D11" s="15" t="s">
        <v>314</v>
      </c>
      <c r="E11" s="15" t="s">
        <v>315</v>
      </c>
    </row>
    <row r="12" customFormat="false" ht="23.25" hidden="false" customHeight="true" outlineLevel="0" collapsed="false">
      <c r="A12" s="5" t="s">
        <v>316</v>
      </c>
      <c r="B12" s="31" t="n">
        <v>25</v>
      </c>
      <c r="C12" s="6" t="s">
        <v>307</v>
      </c>
      <c r="D12" s="6" t="s">
        <v>317</v>
      </c>
      <c r="E12" s="6" t="s">
        <v>318</v>
      </c>
    </row>
    <row r="13" customFormat="false" ht="23.25" hidden="false" customHeight="true" outlineLevel="0" collapsed="false">
      <c r="A13" s="5" t="s">
        <v>319</v>
      </c>
      <c r="B13" s="31" t="n">
        <v>56.9</v>
      </c>
      <c r="C13" s="6" t="s">
        <v>320</v>
      </c>
      <c r="D13" s="6" t="s">
        <v>321</v>
      </c>
      <c r="E13" s="6" t="s">
        <v>322</v>
      </c>
    </row>
    <row r="14" customFormat="false" ht="23.25" hidden="false" customHeight="true" outlineLevel="0" collapsed="false">
      <c r="A14" s="5" t="s">
        <v>323</v>
      </c>
      <c r="B14" s="31" t="n">
        <v>28.6</v>
      </c>
      <c r="C14" s="6" t="s">
        <v>320</v>
      </c>
      <c r="D14" s="6" t="s">
        <v>324</v>
      </c>
      <c r="E14" s="6" t="s">
        <v>325</v>
      </c>
    </row>
    <row r="15" customFormat="false" ht="23.25" hidden="false" customHeight="true" outlineLevel="0" collapsed="false">
      <c r="A15" s="5" t="s">
        <v>326</v>
      </c>
      <c r="B15" s="31" t="n">
        <v>109</v>
      </c>
      <c r="C15" s="6" t="s">
        <v>320</v>
      </c>
      <c r="D15" s="6" t="s">
        <v>327</v>
      </c>
      <c r="E15" s="6" t="s">
        <v>328</v>
      </c>
    </row>
    <row r="16" customFormat="false" ht="23.25" hidden="false" customHeight="true" outlineLevel="0" collapsed="false">
      <c r="A16" s="14" t="s">
        <v>329</v>
      </c>
      <c r="B16" s="32" t="n">
        <v>0</v>
      </c>
      <c r="C16" s="15" t="s">
        <v>320</v>
      </c>
      <c r="D16" s="15" t="s">
        <v>330</v>
      </c>
      <c r="E16" s="15" t="s">
        <v>331</v>
      </c>
    </row>
    <row r="17" customFormat="false" ht="15" hidden="false" customHeight="true" outlineLevel="0" collapsed="false">
      <c r="A17" s="5" t="s">
        <v>332</v>
      </c>
      <c r="B17" s="31"/>
      <c r="C17" s="6" t="s">
        <v>320</v>
      </c>
      <c r="D17" s="6" t="s">
        <v>324</v>
      </c>
      <c r="E17" s="6" t="s">
        <v>333</v>
      </c>
    </row>
    <row r="18" customFormat="false" ht="15" hidden="false" customHeight="true" outlineLevel="0" collapsed="false">
      <c r="A18" s="5" t="s">
        <v>334</v>
      </c>
      <c r="B18" s="31"/>
      <c r="C18" s="6" t="s">
        <v>320</v>
      </c>
      <c r="D18" s="6" t="s">
        <v>324</v>
      </c>
      <c r="E18" s="6" t="s">
        <v>335</v>
      </c>
    </row>
    <row r="19" customFormat="false" ht="23.25" hidden="false" customHeight="true" outlineLevel="0" collapsed="false">
      <c r="A19" s="14" t="s">
        <v>336</v>
      </c>
      <c r="B19" s="32" t="n">
        <v>33.9</v>
      </c>
      <c r="C19" s="15" t="s">
        <v>337</v>
      </c>
      <c r="D19" s="15" t="s">
        <v>338</v>
      </c>
      <c r="E19" s="15" t="s">
        <v>339</v>
      </c>
    </row>
    <row r="20" customFormat="false" ht="23.25" hidden="false" customHeight="true" outlineLevel="0" collapsed="false">
      <c r="A20" s="14" t="s">
        <v>340</v>
      </c>
      <c r="B20" s="32" t="n">
        <v>0</v>
      </c>
      <c r="C20" s="15" t="s">
        <v>337</v>
      </c>
      <c r="D20" s="15" t="s">
        <v>330</v>
      </c>
      <c r="E20" s="15" t="s">
        <v>341</v>
      </c>
    </row>
    <row r="21" customFormat="false" ht="23.25" hidden="false" customHeight="true" outlineLevel="0" collapsed="false">
      <c r="A21" s="5" t="s">
        <v>342</v>
      </c>
      <c r="B21" s="31"/>
      <c r="C21" s="6" t="s">
        <v>343</v>
      </c>
      <c r="D21" s="6" t="s">
        <v>344</v>
      </c>
      <c r="E21" s="6" t="s">
        <v>345</v>
      </c>
    </row>
    <row r="22" customFormat="false" ht="23.25" hidden="false" customHeight="true" outlineLevel="0" collapsed="false">
      <c r="A22" s="5" t="s">
        <v>346</v>
      </c>
      <c r="B22" s="31"/>
      <c r="C22" s="6" t="s">
        <v>343</v>
      </c>
      <c r="D22" s="6" t="s">
        <v>347</v>
      </c>
      <c r="E22" s="6" t="s">
        <v>348</v>
      </c>
    </row>
    <row r="23" customFormat="false" ht="23.25" hidden="false" customHeight="true" outlineLevel="0" collapsed="false">
      <c r="A23" s="5" t="s">
        <v>349</v>
      </c>
      <c r="B23" s="31"/>
      <c r="C23" s="6" t="s">
        <v>343</v>
      </c>
      <c r="D23" s="6" t="s">
        <v>350</v>
      </c>
      <c r="E23" s="6" t="s">
        <v>351</v>
      </c>
    </row>
    <row r="24" customFormat="false" ht="15" hidden="false" customHeight="true" outlineLevel="0" collapsed="false">
      <c r="A24" s="5" t="s">
        <v>352</v>
      </c>
      <c r="B24" s="31"/>
      <c r="C24" s="6" t="s">
        <v>353</v>
      </c>
      <c r="D24" s="6" t="s">
        <v>292</v>
      </c>
      <c r="E24" s="6" t="s">
        <v>354</v>
      </c>
    </row>
    <row r="25" customFormat="false" ht="15" hidden="false" customHeight="true" outlineLevel="0" collapsed="false">
      <c r="A25" s="5" t="s">
        <v>355</v>
      </c>
      <c r="B25" s="31"/>
      <c r="C25" s="6" t="s">
        <v>356</v>
      </c>
      <c r="D25" s="6" t="s">
        <v>292</v>
      </c>
      <c r="E25" s="6" t="s">
        <v>357</v>
      </c>
    </row>
    <row r="26" customFormat="false" ht="15" hidden="false" customHeight="true" outlineLevel="0" collapsed="false">
      <c r="A26" s="5" t="s">
        <v>358</v>
      </c>
      <c r="B26" s="31"/>
      <c r="C26" s="6" t="s">
        <v>359</v>
      </c>
      <c r="D26" s="6" t="s">
        <v>350</v>
      </c>
      <c r="E26" s="6" t="s">
        <v>360</v>
      </c>
    </row>
    <row r="27" customFormat="false" ht="45.75" hidden="false" customHeight="true" outlineLevel="0" collapsed="false">
      <c r="A27" s="14" t="s">
        <v>361</v>
      </c>
      <c r="B27" s="32" t="n">
        <v>55.3</v>
      </c>
      <c r="C27" s="15" t="s">
        <v>303</v>
      </c>
      <c r="D27" s="15" t="s">
        <v>362</v>
      </c>
      <c r="E27" s="15" t="s">
        <v>363</v>
      </c>
    </row>
    <row r="28" customFormat="false" ht="34.5" hidden="false" customHeight="true" outlineLevel="0" collapsed="false">
      <c r="A28" s="14" t="s">
        <v>364</v>
      </c>
      <c r="B28" s="32" t="n">
        <v>26.22</v>
      </c>
      <c r="C28" s="15" t="s">
        <v>303</v>
      </c>
      <c r="D28" s="15" t="s">
        <v>317</v>
      </c>
      <c r="E28" s="15" t="s">
        <v>318</v>
      </c>
    </row>
    <row r="29" customFormat="false" ht="23.25" hidden="false" customHeight="true" outlineLevel="0" collapsed="false">
      <c r="A29" s="14" t="s">
        <v>365</v>
      </c>
      <c r="B29" s="32" t="n">
        <v>9.99</v>
      </c>
      <c r="C29" s="15" t="s">
        <v>337</v>
      </c>
      <c r="D29" s="15" t="s">
        <v>366</v>
      </c>
      <c r="E29" s="15" t="s">
        <v>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2"/>
    <col collapsed="false" customWidth="true" hidden="false" outlineLevel="0" max="3" min="3" style="1" width="30"/>
    <col collapsed="false" customWidth="true" hidden="false" outlineLevel="0" max="4" min="4" style="1" width="84"/>
  </cols>
  <sheetData>
    <row r="1" customFormat="false" ht="17.25" hidden="false" customHeight="true" outlineLevel="0" collapsed="false">
      <c r="A1" s="2" t="s">
        <v>368</v>
      </c>
    </row>
    <row r="2" customFormat="false" ht="63.75" hidden="false" customHeight="true" outlineLevel="0" collapsed="false">
      <c r="A2" s="3" t="s">
        <v>369</v>
      </c>
    </row>
    <row r="4" customFormat="false" ht="15" hidden="false" customHeight="true" outlineLevel="0" collapsed="false">
      <c r="A4" s="4" t="s">
        <v>370</v>
      </c>
      <c r="B4" s="4" t="s">
        <v>371</v>
      </c>
      <c r="C4" s="4" t="s">
        <v>372</v>
      </c>
      <c r="D4" s="4" t="s">
        <v>373</v>
      </c>
    </row>
    <row r="5" customFormat="false" ht="23.25" hidden="false" customHeight="true" outlineLevel="0" collapsed="false">
      <c r="A5" s="33" t="s">
        <v>374</v>
      </c>
      <c r="B5" s="34" t="s">
        <v>375</v>
      </c>
      <c r="C5" s="34" t="s">
        <v>376</v>
      </c>
      <c r="D5" s="34" t="s">
        <v>377</v>
      </c>
    </row>
    <row r="6" customFormat="false" ht="15" hidden="false" customHeight="true" outlineLevel="0" collapsed="false">
      <c r="A6" s="14" t="s">
        <v>378</v>
      </c>
      <c r="B6" s="15" t="s">
        <v>379</v>
      </c>
      <c r="C6" s="15" t="s">
        <v>380</v>
      </c>
      <c r="D6" s="15" t="s">
        <v>381</v>
      </c>
    </row>
    <row r="7" customFormat="false" ht="23.25" hidden="false" customHeight="true" outlineLevel="0" collapsed="false">
      <c r="A7" s="5" t="s">
        <v>382</v>
      </c>
      <c r="B7" s="6" t="s">
        <v>383</v>
      </c>
      <c r="C7" s="6" t="s">
        <v>384</v>
      </c>
      <c r="D7" s="6" t="s">
        <v>385</v>
      </c>
    </row>
    <row r="8" customFormat="false" ht="34.5" hidden="false" customHeight="true" outlineLevel="0" collapsed="false">
      <c r="A8" s="14" t="s">
        <v>386</v>
      </c>
      <c r="B8" s="15" t="s">
        <v>387</v>
      </c>
      <c r="C8" s="15" t="s">
        <v>388</v>
      </c>
      <c r="D8" s="15" t="s">
        <v>389</v>
      </c>
    </row>
    <row r="9" customFormat="false" ht="23.25" hidden="false" customHeight="true" outlineLevel="0" collapsed="false">
      <c r="A9" s="14" t="s">
        <v>390</v>
      </c>
      <c r="B9" s="15" t="s">
        <v>387</v>
      </c>
      <c r="C9" s="15" t="s">
        <v>391</v>
      </c>
      <c r="D9" s="15" t="s">
        <v>392</v>
      </c>
    </row>
    <row r="10" customFormat="false" ht="23.25" hidden="false" customHeight="true" outlineLevel="0" collapsed="false">
      <c r="A10" s="5" t="s">
        <v>393</v>
      </c>
      <c r="B10" s="6" t="s">
        <v>387</v>
      </c>
      <c r="C10" s="6" t="s">
        <v>394</v>
      </c>
      <c r="D10" s="6" t="s">
        <v>395</v>
      </c>
    </row>
    <row r="11" customFormat="false" ht="23.25" hidden="false" customHeight="true" outlineLevel="0" collapsed="false">
      <c r="A11" s="5" t="s">
        <v>396</v>
      </c>
      <c r="B11" s="6" t="s">
        <v>383</v>
      </c>
      <c r="C11" s="6" t="s">
        <v>397</v>
      </c>
      <c r="D11" s="6" t="s">
        <v>398</v>
      </c>
    </row>
    <row r="12" customFormat="false" ht="15" hidden="false" customHeight="true" outlineLevel="0" collapsed="false">
      <c r="A12" s="5" t="s">
        <v>399</v>
      </c>
      <c r="B12" s="6" t="s">
        <v>400</v>
      </c>
      <c r="C12" s="6" t="s">
        <v>401</v>
      </c>
      <c r="D12" s="6" t="s">
        <v>402</v>
      </c>
    </row>
    <row r="13" customFormat="false" ht="23.25" hidden="false" customHeight="true" outlineLevel="0" collapsed="false">
      <c r="A13" s="33" t="s">
        <v>403</v>
      </c>
      <c r="B13" s="34" t="s">
        <v>404</v>
      </c>
      <c r="C13" s="34" t="s">
        <v>405</v>
      </c>
      <c r="D13" s="34" t="s">
        <v>406</v>
      </c>
    </row>
    <row r="15" customFormat="false" ht="26.25" hidden="false" customHeight="true" outlineLevel="0" collapsed="false">
      <c r="A15" s="17" t="s">
        <v>407</v>
      </c>
    </row>
    <row r="16" customFormat="false" ht="15" hidden="false" customHeight="true" outlineLevel="0" collapsed="false">
      <c r="A16" s="30" t="s">
        <v>408</v>
      </c>
      <c r="B16" s="30"/>
      <c r="C16" s="30"/>
      <c r="D16" s="30"/>
    </row>
    <row r="17" customFormat="false" ht="15" hidden="false" customHeight="true" outlineLevel="0" collapsed="false">
      <c r="A17" s="30" t="s">
        <v>409</v>
      </c>
      <c r="B17" s="30"/>
      <c r="C17" s="30"/>
      <c r="D17" s="30"/>
    </row>
    <row r="18" customFormat="false" ht="15" hidden="false" customHeight="true" outlineLevel="0" collapsed="false">
      <c r="A18" s="30" t="s">
        <v>410</v>
      </c>
      <c r="B18" s="30"/>
      <c r="C18" s="30"/>
      <c r="D18" s="30"/>
    </row>
    <row r="19" customFormat="false" ht="15" hidden="false" customHeight="true" outlineLevel="0" collapsed="false">
      <c r="A19" s="30" t="s">
        <v>411</v>
      </c>
      <c r="B19" s="30"/>
      <c r="C19" s="30"/>
      <c r="D19" s="30"/>
    </row>
    <row r="20" customFormat="false" ht="15" hidden="false" customHeight="true" outlineLevel="0" collapsed="false">
      <c r="A20" s="30" t="s">
        <v>412</v>
      </c>
      <c r="B20" s="30"/>
      <c r="C20" s="30"/>
      <c r="D20" s="30"/>
    </row>
    <row r="21" customFormat="false" ht="15" hidden="false" customHeight="true" outlineLevel="0" collapsed="false">
      <c r="A21" s="30" t="s">
        <v>413</v>
      </c>
      <c r="B21" s="30"/>
      <c r="C21" s="30"/>
      <c r="D21" s="30"/>
    </row>
    <row r="22" customFormat="false" ht="15" hidden="false" customHeight="true" outlineLevel="0" collapsed="false">
      <c r="A22" s="30" t="s">
        <v>414</v>
      </c>
      <c r="B22" s="30"/>
      <c r="C22" s="30"/>
      <c r="D22" s="30"/>
    </row>
    <row r="24" customFormat="false" ht="34.5" hidden="false" customHeight="true" outlineLevel="0" collapsed="false">
      <c r="A24" s="33" t="s">
        <v>415</v>
      </c>
      <c r="B24" s="34" t="s">
        <v>416</v>
      </c>
      <c r="C24" s="34" t="s">
        <v>417</v>
      </c>
      <c r="D24" s="34" t="s">
        <v>418</v>
      </c>
    </row>
    <row r="25" customFormat="false" ht="23.25" hidden="false" customHeight="true" outlineLevel="0" collapsed="false">
      <c r="A25" s="5" t="s">
        <v>419</v>
      </c>
      <c r="B25" s="6" t="s">
        <v>379</v>
      </c>
      <c r="C25" s="6" t="s">
        <v>420</v>
      </c>
      <c r="D25" s="6" t="s">
        <v>421</v>
      </c>
    </row>
    <row r="26" customFormat="false" ht="34.5" hidden="false" customHeight="true" outlineLevel="0" collapsed="false">
      <c r="A26" s="14" t="s">
        <v>422</v>
      </c>
      <c r="B26" s="15" t="s">
        <v>387</v>
      </c>
      <c r="C26" s="15" t="s">
        <v>423</v>
      </c>
      <c r="D26" s="15" t="s">
        <v>424</v>
      </c>
    </row>
  </sheetData>
  <mergeCells count="7">
    <mergeCell ref="A16:D16"/>
    <mergeCell ref="A17:D17"/>
    <mergeCell ref="A18:D18"/>
    <mergeCell ref="A19:D19"/>
    <mergeCell ref="A20:D20"/>
    <mergeCell ref="A21:D21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11"/>
    <col collapsed="false" customWidth="true" hidden="false" outlineLevel="0" max="4" min="4" style="1" width="13"/>
    <col collapsed="false" customWidth="true" hidden="false" outlineLevel="0" max="5" min="5" style="1" width="19"/>
    <col collapsed="false" customWidth="true" hidden="false" outlineLevel="0" max="6" min="6" style="1" width="72"/>
  </cols>
  <sheetData>
    <row r="1" customFormat="false" ht="17.25" hidden="false" customHeight="true" outlineLevel="0" collapsed="false">
      <c r="A1" s="35" t="s">
        <v>425</v>
      </c>
      <c r="B1" s="35"/>
      <c r="C1" s="35"/>
      <c r="D1" s="35"/>
      <c r="E1" s="35"/>
      <c r="F1" s="35"/>
    </row>
    <row r="2" customFormat="false" ht="15" hidden="false" customHeight="true" outlineLevel="0" collapsed="false">
      <c r="A2" s="36" t="s">
        <v>426</v>
      </c>
      <c r="B2" s="36"/>
      <c r="C2" s="36"/>
      <c r="D2" s="36"/>
      <c r="E2" s="36"/>
      <c r="F2" s="36"/>
    </row>
    <row r="4" customFormat="false" ht="15" hidden="false" customHeight="true" outlineLevel="0" collapsed="false">
      <c r="A4" s="37" t="s">
        <v>285</v>
      </c>
      <c r="B4" s="37" t="s">
        <v>286</v>
      </c>
      <c r="C4" s="37" t="s">
        <v>427</v>
      </c>
      <c r="D4" s="37" t="s">
        <v>428</v>
      </c>
      <c r="E4" s="37" t="s">
        <v>288</v>
      </c>
      <c r="F4" s="37" t="s">
        <v>289</v>
      </c>
    </row>
    <row r="5" customFormat="false" ht="34.5" hidden="false" customHeight="true" outlineLevel="0" collapsed="false">
      <c r="A5" s="38" t="s">
        <v>429</v>
      </c>
      <c r="B5" s="39" t="n">
        <v>379</v>
      </c>
      <c r="C5" s="40" t="s">
        <v>430</v>
      </c>
      <c r="D5" s="40" t="s">
        <v>431</v>
      </c>
      <c r="E5" s="41" t="s">
        <v>432</v>
      </c>
      <c r="F5" s="42" t="s">
        <v>433</v>
      </c>
    </row>
    <row r="6" customFormat="false" ht="23.25" hidden="false" customHeight="true" outlineLevel="0" collapsed="false">
      <c r="A6" s="38" t="s">
        <v>434</v>
      </c>
      <c r="B6" s="39" t="n">
        <v>45</v>
      </c>
      <c r="C6" s="40" t="s">
        <v>227</v>
      </c>
      <c r="D6" s="40" t="s">
        <v>227</v>
      </c>
      <c r="E6" s="41" t="s">
        <v>435</v>
      </c>
      <c r="F6" s="42" t="s">
        <v>436</v>
      </c>
    </row>
    <row r="7" customFormat="false" ht="34.5" hidden="false" customHeight="true" outlineLevel="0" collapsed="false">
      <c r="A7" s="38" t="s">
        <v>437</v>
      </c>
      <c r="B7" s="39" t="n">
        <v>259</v>
      </c>
      <c r="C7" s="40" t="s">
        <v>350</v>
      </c>
      <c r="D7" s="40" t="s">
        <v>431</v>
      </c>
      <c r="E7" s="43" t="s">
        <v>438</v>
      </c>
      <c r="F7" s="42" t="s">
        <v>439</v>
      </c>
    </row>
    <row r="8" customFormat="false" ht="23.25" hidden="false" customHeight="true" outlineLevel="0" collapsed="false">
      <c r="A8" s="38" t="s">
        <v>440</v>
      </c>
      <c r="B8" s="39" t="n">
        <v>189</v>
      </c>
      <c r="C8" s="40" t="s">
        <v>350</v>
      </c>
      <c r="D8" s="40" t="s">
        <v>441</v>
      </c>
      <c r="E8" s="44" t="s">
        <v>442</v>
      </c>
      <c r="F8" s="45" t="s">
        <v>443</v>
      </c>
    </row>
    <row r="9" customFormat="false" ht="23.25" hidden="false" customHeight="true" outlineLevel="0" collapsed="false">
      <c r="A9" s="38" t="s">
        <v>444</v>
      </c>
      <c r="B9" s="39" t="n">
        <v>379</v>
      </c>
      <c r="C9" s="40" t="s">
        <v>430</v>
      </c>
      <c r="D9" s="40" t="s">
        <v>431</v>
      </c>
      <c r="E9" s="43" t="s">
        <v>445</v>
      </c>
      <c r="F9" s="42" t="s">
        <v>446</v>
      </c>
    </row>
    <row r="10" customFormat="false" ht="23.25" hidden="false" customHeight="true" outlineLevel="0" collapsed="false">
      <c r="A10" s="38" t="s">
        <v>447</v>
      </c>
      <c r="B10" s="39" t="n">
        <v>519</v>
      </c>
      <c r="C10" s="40" t="s">
        <v>430</v>
      </c>
      <c r="D10" s="40" t="s">
        <v>431</v>
      </c>
      <c r="E10" s="44" t="s">
        <v>448</v>
      </c>
      <c r="F10" s="42" t="s">
        <v>449</v>
      </c>
    </row>
    <row r="11" customFormat="false" ht="23.25" hidden="false" customHeight="true" outlineLevel="0" collapsed="false">
      <c r="A11" s="38" t="s">
        <v>450</v>
      </c>
      <c r="B11" s="39" t="n">
        <v>719</v>
      </c>
      <c r="C11" s="40" t="s">
        <v>451</v>
      </c>
      <c r="D11" s="40" t="s">
        <v>452</v>
      </c>
      <c r="E11" s="43" t="s">
        <v>453</v>
      </c>
      <c r="F11" s="42" t="s">
        <v>454</v>
      </c>
    </row>
    <row r="12" customFormat="false" ht="45.75" hidden="false" customHeight="true" outlineLevel="0" collapsed="false">
      <c r="A12" s="38" t="s">
        <v>455</v>
      </c>
      <c r="B12" s="39" t="n">
        <v>110</v>
      </c>
      <c r="C12" s="40" t="s">
        <v>227</v>
      </c>
      <c r="D12" s="40" t="s">
        <v>227</v>
      </c>
      <c r="E12" s="44" t="s">
        <v>350</v>
      </c>
      <c r="F12" s="45" t="s">
        <v>456</v>
      </c>
    </row>
    <row r="13" customFormat="false" ht="34.5" hidden="false" customHeight="true" outlineLevel="0" collapsed="false">
      <c r="A13" s="38" t="s">
        <v>457</v>
      </c>
      <c r="B13" s="39" t="n">
        <v>115</v>
      </c>
      <c r="C13" s="40" t="s">
        <v>227</v>
      </c>
      <c r="D13" s="40" t="s">
        <v>227</v>
      </c>
      <c r="E13" s="43" t="s">
        <v>458</v>
      </c>
      <c r="F13" s="45" t="s">
        <v>459</v>
      </c>
    </row>
    <row r="15" customFormat="false" ht="15" hidden="false" customHeight="true" outlineLevel="0" collapsed="false">
      <c r="A15" s="46" t="s">
        <v>460</v>
      </c>
      <c r="B15" s="47" t="n">
        <f aca="false">B5+B6</f>
        <v>424</v>
      </c>
    </row>
    <row r="17" customFormat="false" ht="15" hidden="false" customHeight="true" outlineLevel="0" collapsed="false">
      <c r="A17" s="48" t="s">
        <v>461</v>
      </c>
    </row>
    <row r="18" customFormat="false" ht="23.25" hidden="false" customHeight="true" outlineLevel="0" collapsed="false">
      <c r="A18" s="30" t="s">
        <v>462</v>
      </c>
      <c r="B18" s="30"/>
      <c r="C18" s="30"/>
      <c r="D18" s="30"/>
      <c r="E18" s="30"/>
      <c r="F18" s="30"/>
    </row>
    <row r="19" customFormat="false" ht="15" hidden="false" customHeight="true" outlineLevel="0" collapsed="false">
      <c r="A19" s="30" t="s">
        <v>463</v>
      </c>
      <c r="B19" s="30"/>
      <c r="C19" s="30"/>
      <c r="D19" s="30"/>
      <c r="E19" s="30"/>
      <c r="F19" s="30"/>
    </row>
    <row r="20" customFormat="false" ht="15" hidden="false" customHeight="true" outlineLevel="0" collapsed="false">
      <c r="A20" s="30" t="s">
        <v>464</v>
      </c>
      <c r="B20" s="30"/>
      <c r="C20" s="30"/>
      <c r="D20" s="30"/>
      <c r="E20" s="30"/>
      <c r="F20" s="30"/>
    </row>
    <row r="21" customFormat="false" ht="15" hidden="false" customHeight="true" outlineLevel="0" collapsed="false">
      <c r="A21" s="30" t="s">
        <v>465</v>
      </c>
      <c r="B21" s="30"/>
      <c r="C21" s="30"/>
      <c r="D21" s="30"/>
      <c r="E21" s="30"/>
      <c r="F21" s="30"/>
    </row>
    <row r="22" customFormat="false" ht="15" hidden="false" customHeight="true" outlineLevel="0" collapsed="false">
      <c r="A22" s="30" t="s">
        <v>466</v>
      </c>
      <c r="B22" s="30"/>
      <c r="C22" s="30"/>
      <c r="D22" s="30"/>
      <c r="E22" s="30"/>
      <c r="F22" s="30"/>
    </row>
    <row r="23" customFormat="false" ht="15" hidden="false" customHeight="true" outlineLevel="0" collapsed="false">
      <c r="A23" s="30" t="s">
        <v>467</v>
      </c>
      <c r="B23" s="30"/>
      <c r="C23" s="30"/>
      <c r="D23" s="30"/>
      <c r="E23" s="30"/>
      <c r="F23" s="30"/>
    </row>
    <row r="24" customFormat="false" ht="15" hidden="false" customHeight="true" outlineLevel="0" collapsed="false">
      <c r="A24" s="30"/>
      <c r="B24" s="30"/>
      <c r="C24" s="30"/>
      <c r="D24" s="30"/>
      <c r="E24" s="30"/>
      <c r="F24" s="30"/>
    </row>
    <row r="25" customFormat="false" ht="15" hidden="false" customHeight="true" outlineLevel="0" collapsed="false">
      <c r="A25" s="49" t="s">
        <v>468</v>
      </c>
      <c r="B25" s="49"/>
      <c r="C25" s="49"/>
      <c r="D25" s="49"/>
      <c r="E25" s="49"/>
      <c r="F25" s="49"/>
    </row>
    <row r="26" customFormat="false" ht="15" hidden="false" customHeight="true" outlineLevel="0" collapsed="false">
      <c r="A26" s="30" t="s">
        <v>469</v>
      </c>
      <c r="B26" s="30"/>
      <c r="C26" s="30"/>
      <c r="D26" s="30"/>
      <c r="E26" s="30"/>
      <c r="F26" s="30"/>
    </row>
    <row r="27" customFormat="false" ht="15" hidden="false" customHeight="true" outlineLevel="0" collapsed="false">
      <c r="A27" s="30" t="s">
        <v>470</v>
      </c>
      <c r="B27" s="30"/>
      <c r="C27" s="30"/>
      <c r="D27" s="30"/>
      <c r="E27" s="30"/>
      <c r="F27" s="30"/>
    </row>
    <row r="28" customFormat="false" ht="15" hidden="false" customHeight="true" outlineLevel="0" collapsed="false">
      <c r="A28" s="30" t="s">
        <v>471</v>
      </c>
      <c r="B28" s="30"/>
      <c r="C28" s="30"/>
      <c r="D28" s="30"/>
      <c r="E28" s="30"/>
      <c r="F28" s="30"/>
    </row>
    <row r="29" customFormat="false" ht="15" hidden="false" customHeight="true" outlineLevel="0" collapsed="false">
      <c r="A29" s="30" t="s">
        <v>472</v>
      </c>
      <c r="B29" s="30"/>
      <c r="C29" s="30"/>
      <c r="D29" s="30"/>
      <c r="E29" s="30"/>
      <c r="F29" s="30"/>
    </row>
    <row r="30" customFormat="false" ht="15" hidden="false" customHeight="true" outlineLevel="0" collapsed="false">
      <c r="A30" s="30" t="s">
        <v>473</v>
      </c>
      <c r="B30" s="30"/>
      <c r="C30" s="30"/>
      <c r="D30" s="30"/>
      <c r="E30" s="30"/>
      <c r="F30" s="30"/>
    </row>
  </sheetData>
  <mergeCells count="15">
    <mergeCell ref="A1:F1"/>
    <mergeCell ref="A2:F2"/>
    <mergeCell ref="A18:F18"/>
    <mergeCell ref="A19:F19"/>
    <mergeCell ref="A20:F20"/>
    <mergeCell ref="A21:F21"/>
    <mergeCell ref="A22:F22"/>
    <mergeCell ref="A23:F23"/>
    <mergeCell ref="A24:F24"/>
    <mergeCell ref="A25:F25"/>
    <mergeCell ref="A26:F26"/>
    <mergeCell ref="A27:F27"/>
    <mergeCell ref="A28:F28"/>
    <mergeCell ref="A29:F29"/>
    <mergeCell ref="A30:F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11"/>
    <col collapsed="false" customWidth="true" hidden="false" outlineLevel="0" max="3" min="3" style="1" width="14"/>
    <col collapsed="false" customWidth="true" hidden="false" outlineLevel="0" max="4" min="4" style="1" width="88"/>
  </cols>
  <sheetData>
    <row r="1" customFormat="false" ht="27.75" hidden="false" customHeight="true" outlineLevel="0" collapsed="false">
      <c r="A1" s="50" t="s">
        <v>474</v>
      </c>
      <c r="B1" s="50"/>
      <c r="C1" s="50"/>
      <c r="D1" s="50"/>
      <c r="E1" s="2"/>
    </row>
    <row r="2" customFormat="false" ht="19.5" hidden="false" customHeight="true" outlineLevel="0" collapsed="false">
      <c r="A2" s="51" t="s">
        <v>475</v>
      </c>
      <c r="B2" s="51"/>
      <c r="C2" s="51"/>
      <c r="D2" s="51"/>
      <c r="E2" s="52"/>
    </row>
    <row r="4" customFormat="false" ht="15" hidden="false" customHeight="true" outlineLevel="0" collapsed="false">
      <c r="A4" s="37" t="s">
        <v>285</v>
      </c>
      <c r="B4" s="37" t="s">
        <v>286</v>
      </c>
      <c r="C4" s="37" t="s">
        <v>476</v>
      </c>
      <c r="D4" s="37" t="s">
        <v>477</v>
      </c>
    </row>
    <row r="5" customFormat="false" ht="34.5" hidden="false" customHeight="true" outlineLevel="0" collapsed="false">
      <c r="A5" s="38" t="s">
        <v>478</v>
      </c>
      <c r="B5" s="39" t="n">
        <v>30</v>
      </c>
      <c r="C5" s="41" t="s">
        <v>479</v>
      </c>
      <c r="D5" s="45" t="s">
        <v>480</v>
      </c>
    </row>
    <row r="6" customFormat="false" ht="34.5" hidden="false" customHeight="true" outlineLevel="0" collapsed="false">
      <c r="A6" s="38" t="s">
        <v>481</v>
      </c>
      <c r="B6" s="39" t="n">
        <v>14</v>
      </c>
      <c r="C6" s="41" t="s">
        <v>479</v>
      </c>
      <c r="D6" s="45" t="s">
        <v>482</v>
      </c>
    </row>
    <row r="7" customFormat="false" ht="15" hidden="false" customHeight="true" outlineLevel="0" collapsed="false">
      <c r="A7" s="38" t="s">
        <v>483</v>
      </c>
      <c r="B7" s="39" t="n">
        <v>8</v>
      </c>
      <c r="C7" s="41" t="s">
        <v>479</v>
      </c>
      <c r="D7" s="42" t="s">
        <v>484</v>
      </c>
    </row>
    <row r="8" customFormat="false" ht="15" hidden="false" customHeight="true" outlineLevel="0" collapsed="false">
      <c r="A8" s="38" t="s">
        <v>485</v>
      </c>
      <c r="B8" s="39" t="n">
        <v>6</v>
      </c>
      <c r="C8" s="41" t="s">
        <v>479</v>
      </c>
      <c r="D8" s="42" t="s">
        <v>486</v>
      </c>
    </row>
    <row r="9" customFormat="false" ht="23.25" hidden="false" customHeight="true" outlineLevel="0" collapsed="false">
      <c r="A9" s="38" t="s">
        <v>487</v>
      </c>
      <c r="B9" s="39" t="n">
        <v>5</v>
      </c>
      <c r="C9" s="41" t="s">
        <v>479</v>
      </c>
      <c r="D9" s="45" t="s">
        <v>488</v>
      </c>
    </row>
    <row r="10" customFormat="false" ht="15" hidden="false" customHeight="true" outlineLevel="0" collapsed="false">
      <c r="A10" s="38" t="s">
        <v>489</v>
      </c>
      <c r="B10" s="39" t="n">
        <v>10</v>
      </c>
      <c r="C10" s="41" t="s">
        <v>479</v>
      </c>
      <c r="D10" s="42" t="s">
        <v>490</v>
      </c>
    </row>
    <row r="11" customFormat="false" ht="15" hidden="false" customHeight="true" outlineLevel="0" collapsed="false">
      <c r="A11" s="38" t="s">
        <v>491</v>
      </c>
      <c r="B11" s="39" t="n">
        <v>8</v>
      </c>
      <c r="C11" s="41" t="s">
        <v>479</v>
      </c>
      <c r="D11" s="42" t="s">
        <v>492</v>
      </c>
    </row>
    <row r="12" customFormat="false" ht="15" hidden="false" customHeight="true" outlineLevel="0" collapsed="false">
      <c r="A12" s="38" t="s">
        <v>493</v>
      </c>
      <c r="B12" s="39" t="n">
        <v>18</v>
      </c>
      <c r="C12" s="41" t="s">
        <v>479</v>
      </c>
      <c r="D12" s="42" t="s">
        <v>494</v>
      </c>
    </row>
    <row r="13" customFormat="false" ht="15" hidden="false" customHeight="true" outlineLevel="0" collapsed="false">
      <c r="A13" s="38" t="s">
        <v>495</v>
      </c>
      <c r="B13" s="39" t="n">
        <v>8</v>
      </c>
      <c r="C13" s="41" t="s">
        <v>479</v>
      </c>
      <c r="D13" s="45" t="s">
        <v>496</v>
      </c>
    </row>
    <row r="14" customFormat="false" ht="23.25" hidden="false" customHeight="true" outlineLevel="0" collapsed="false">
      <c r="A14" s="38" t="s">
        <v>497</v>
      </c>
      <c r="B14" s="39" t="n">
        <v>15</v>
      </c>
      <c r="C14" s="41" t="s">
        <v>479</v>
      </c>
      <c r="D14" s="45" t="s">
        <v>498</v>
      </c>
    </row>
    <row r="15" customFormat="false" ht="23.25" hidden="false" customHeight="true" outlineLevel="0" collapsed="false">
      <c r="A15" s="38" t="s">
        <v>499</v>
      </c>
      <c r="B15" s="39" t="n">
        <v>25</v>
      </c>
      <c r="C15" s="41" t="s">
        <v>479</v>
      </c>
      <c r="D15" s="42" t="s">
        <v>500</v>
      </c>
    </row>
    <row r="16" customFormat="false" ht="23.25" hidden="false" customHeight="true" outlineLevel="0" collapsed="false">
      <c r="A16" s="38" t="s">
        <v>501</v>
      </c>
      <c r="B16" s="39" t="n">
        <v>12</v>
      </c>
      <c r="C16" s="43" t="s">
        <v>502</v>
      </c>
      <c r="D16" s="42" t="s">
        <v>503</v>
      </c>
    </row>
    <row r="17" customFormat="false" ht="23.25" hidden="false" customHeight="true" outlineLevel="0" collapsed="false">
      <c r="A17" s="38" t="s">
        <v>504</v>
      </c>
      <c r="B17" s="39" t="n">
        <v>30</v>
      </c>
      <c r="C17" s="43" t="s">
        <v>505</v>
      </c>
      <c r="D17" s="42" t="s">
        <v>506</v>
      </c>
    </row>
    <row r="18" customFormat="false" ht="23.25" hidden="false" customHeight="true" outlineLevel="0" collapsed="false">
      <c r="A18" s="38" t="s">
        <v>507</v>
      </c>
      <c r="B18" s="39"/>
      <c r="C18" s="44" t="s">
        <v>508</v>
      </c>
      <c r="D18" s="45" t="s">
        <v>509</v>
      </c>
    </row>
    <row r="20" customFormat="false" ht="15" hidden="false" customHeight="true" outlineLevel="0" collapsed="false">
      <c r="A20" s="46" t="s">
        <v>510</v>
      </c>
      <c r="B20" s="47" t="n">
        <f aca="false">SUMIF(C5:C18,"SIM",B5:B18)</f>
        <v>147</v>
      </c>
    </row>
    <row r="22" customFormat="false" ht="15" hidden="false" customHeight="true" outlineLevel="0" collapsed="false">
      <c r="A22" s="48" t="s">
        <v>511</v>
      </c>
    </row>
    <row r="23" customFormat="false" ht="23.25" hidden="false" customHeight="true" outlineLevel="0" collapsed="false">
      <c r="A23" s="30" t="s">
        <v>512</v>
      </c>
      <c r="B23" s="30"/>
      <c r="C23" s="30"/>
      <c r="D23" s="30"/>
    </row>
    <row r="24" customFormat="false" ht="15" hidden="false" customHeight="true" outlineLevel="0" collapsed="false">
      <c r="A24" s="30"/>
      <c r="B24" s="30"/>
      <c r="C24" s="30"/>
      <c r="D24" s="30"/>
    </row>
    <row r="25" customFormat="false" ht="23.25" hidden="false" customHeight="true" outlineLevel="0" collapsed="false">
      <c r="A25" s="30" t="s">
        <v>513</v>
      </c>
      <c r="B25" s="30"/>
      <c r="C25" s="30"/>
      <c r="D25" s="30"/>
    </row>
    <row r="26" customFormat="false" ht="15" hidden="false" customHeight="true" outlineLevel="0" collapsed="false">
      <c r="A26" s="30"/>
      <c r="B26" s="30"/>
      <c r="C26" s="30"/>
      <c r="D26" s="30"/>
    </row>
    <row r="27" customFormat="false" ht="15" hidden="false" customHeight="true" outlineLevel="0" collapsed="false">
      <c r="A27" s="30" t="s">
        <v>514</v>
      </c>
      <c r="B27" s="30"/>
      <c r="C27" s="30"/>
      <c r="D27" s="30"/>
    </row>
    <row r="28" customFormat="false" ht="15" hidden="false" customHeight="true" outlineLevel="0" collapsed="false">
      <c r="A28" s="30" t="s">
        <v>515</v>
      </c>
      <c r="B28" s="30"/>
      <c r="C28" s="30"/>
      <c r="D28" s="30"/>
    </row>
    <row r="29" customFormat="false" ht="15" hidden="false" customHeight="true" outlineLevel="0" collapsed="false">
      <c r="A29" s="30" t="s">
        <v>516</v>
      </c>
      <c r="B29" s="30"/>
      <c r="C29" s="30"/>
      <c r="D29" s="30"/>
    </row>
    <row r="30" customFormat="false" ht="15" hidden="false" customHeight="true" outlineLevel="0" collapsed="false">
      <c r="A30" s="30" t="s">
        <v>517</v>
      </c>
      <c r="B30" s="30"/>
      <c r="C30" s="30"/>
      <c r="D30" s="30"/>
    </row>
    <row r="31" customFormat="false" ht="15" hidden="false" customHeight="true" outlineLevel="0" collapsed="false">
      <c r="A31" s="30"/>
      <c r="B31" s="30"/>
      <c r="C31" s="30"/>
      <c r="D31" s="30"/>
    </row>
    <row r="32" customFormat="false" ht="34.5" hidden="false" customHeight="true" outlineLevel="0" collapsed="false">
      <c r="A32" s="30" t="s">
        <v>518</v>
      </c>
      <c r="B32" s="30"/>
      <c r="C32" s="30"/>
      <c r="D32" s="30"/>
    </row>
    <row r="33" customFormat="false" ht="15" hidden="false" customHeight="true" outlineLevel="0" collapsed="false">
      <c r="A33" s="30"/>
      <c r="B33" s="30"/>
      <c r="C33" s="30"/>
      <c r="D33" s="30"/>
    </row>
    <row r="34" customFormat="false" ht="34.5" hidden="false" customHeight="true" outlineLevel="0" collapsed="false">
      <c r="A34" s="30" t="s">
        <v>519</v>
      </c>
      <c r="B34" s="30"/>
      <c r="C34" s="30"/>
      <c r="D34" s="30"/>
    </row>
    <row r="36" customFormat="false" ht="15" hidden="false" customHeight="true" outlineLevel="0" collapsed="false">
      <c r="A36" s="53" t="s">
        <v>520</v>
      </c>
      <c r="B36" s="54"/>
      <c r="C36" s="54"/>
      <c r="D36" s="54"/>
    </row>
    <row r="37" customFormat="false" ht="15" hidden="false" customHeight="true" outlineLevel="0" collapsed="false">
      <c r="A37" s="30" t="s">
        <v>521</v>
      </c>
      <c r="B37" s="30"/>
      <c r="C37" s="30"/>
      <c r="D37" s="30"/>
    </row>
    <row r="38" customFormat="false" ht="15" hidden="false" customHeight="true" outlineLevel="0" collapsed="false">
      <c r="A38" s="30" t="s">
        <v>522</v>
      </c>
      <c r="B38" s="30"/>
      <c r="C38" s="30"/>
      <c r="D38" s="30"/>
    </row>
    <row r="39" customFormat="false" ht="15" hidden="false" customHeight="true" outlineLevel="0" collapsed="false">
      <c r="A39" s="30" t="s">
        <v>523</v>
      </c>
      <c r="B39" s="30"/>
      <c r="C39" s="30"/>
      <c r="D39" s="30"/>
    </row>
    <row r="40" customFormat="false" ht="15" hidden="false" customHeight="true" outlineLevel="0" collapsed="false">
      <c r="A40" s="30" t="s">
        <v>524</v>
      </c>
      <c r="B40" s="30"/>
      <c r="C40" s="30"/>
      <c r="D40" s="30"/>
    </row>
    <row r="41" customFormat="false" ht="15" hidden="false" customHeight="true" outlineLevel="0" collapsed="false">
      <c r="A41" s="30"/>
      <c r="B41" s="30"/>
      <c r="C41" s="30"/>
      <c r="D41" s="30"/>
    </row>
    <row r="42" customFormat="false" ht="15" hidden="false" customHeight="true" outlineLevel="0" collapsed="false">
      <c r="A42" s="30" t="s">
        <v>525</v>
      </c>
      <c r="B42" s="30"/>
      <c r="C42" s="30"/>
      <c r="D42" s="30"/>
    </row>
    <row r="43" customFormat="false" ht="15" hidden="false" customHeight="true" outlineLevel="0" collapsed="false">
      <c r="A43" s="30"/>
      <c r="B43" s="30"/>
      <c r="C43" s="30"/>
      <c r="D43" s="30"/>
    </row>
    <row r="44" customFormat="false" ht="23.25" hidden="false" customHeight="true" outlineLevel="0" collapsed="false">
      <c r="A44" s="30" t="s">
        <v>526</v>
      </c>
      <c r="B44" s="30"/>
      <c r="C44" s="30"/>
      <c r="D44" s="30"/>
    </row>
  </sheetData>
  <mergeCells count="20"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7:D37"/>
    <mergeCell ref="A38:D38"/>
    <mergeCell ref="A39:D39"/>
    <mergeCell ref="A40:D40"/>
    <mergeCell ref="A41:D41"/>
    <mergeCell ref="A42:D42"/>
    <mergeCell ref="A43:D43"/>
    <mergeCell ref="A44:D4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2026-09-14T14:09:48Z</dcterms:created>
  <dc:creator>openpyxl</dc:creator>
  <dc:description/>
  <dc:language>en-US</dc:language>
  <cp:lastModifiedBy/>
  <dcterms:modified xsi:type="dcterms:W3CDTF">2026-09-15T08:40:35Z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