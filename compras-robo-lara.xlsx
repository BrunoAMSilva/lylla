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ras" sheetId="1" state="visible" r:id="rId3"/>
    <sheet name="Resumo" sheetId="2" state="visible" r:id="rId4"/>
    <sheet name="Alternativas" sheetId="3" state="visible" r:id="rId5"/>
    <sheet name="Lojas" sheetId="4" state="visible" r:id="rId6"/>
    <sheet name="Impressora 3D" sheetId="5" state="visible" r:id="rId7"/>
    <sheet name="A bancada" sheetId="6" state="visible" r:id="rId8"/>
  </sheets>
  <definedNames>
    <definedName function="false" hidden="true" localSheetId="0" name="_xlnm._FilterDatabase" vbProcedure="false">Compras!$A$4:$J$43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5" authorId="0">
      <text>
        <r>
          <rPr>
            <sz val="10"/>
            <rFont val="Arial"/>
            <family val="2"/>
          </rPr>
          <t xml:space="preserve">Células a AZUL são preços introduzidos à mão.
Ver coluna 'Preço confirmado?': 'Sim' = verificado na loja a 15/08/2026;
'Estimativa' = valor de referência, confirmar antes de comprar.</t>
        </r>
      </text>
    </comment>
  </commentList>
</comments>
</file>

<file path=xl/sharedStrings.xml><?xml version="1.0" encoding="utf-8"?>
<sst xmlns="http://schemas.openxmlformats.org/spreadsheetml/2006/main" count="610" uniqueCount="419">
  <si>
    <t xml:space="preserve">LISTA DE COMPRAS — PROJETO ROBÔ DA LARA · v4.2</t>
  </si>
  <si>
    <t xml:space="preserve">Preços verificados a 18/08/2026 em lojas PT e DE, com IVA; reSpeaker e coluna revistos a 25/08/2026. Confirmar sempre antes de encomendar.</t>
  </si>
  <si>
    <t xml:space="preserve">Encomenda</t>
  </si>
  <si>
    <t xml:space="preserve">Fase</t>
  </si>
  <si>
    <t xml:space="preserve">Peça</t>
  </si>
  <si>
    <t xml:space="preserve">Para que serve / porquê</t>
  </si>
  <si>
    <t xml:space="preserve">Qtd</t>
  </si>
  <si>
    <t xml:space="preserve">Preço un.</t>
  </si>
  <si>
    <t xml:space="preserve">Total</t>
  </si>
  <si>
    <t xml:space="preserve">Fornecedor</t>
  </si>
  <si>
    <t xml:space="preserve">Preço confirmado?</t>
  </si>
  <si>
    <t xml:space="preserve">Notas importantes</t>
  </si>
  <si>
    <t xml:space="preserve">1 · Cérebro e voz</t>
  </si>
  <si>
    <t xml:space="preserve">1</t>
  </si>
  <si>
    <t xml:space="preserve">Raspberry Pi 5 · 4 GB</t>
  </si>
  <si>
    <t xml:space="preserve">O computador do robô. Corre visão, voz e controlo.</t>
  </si>
  <si>
    <t xml:space="preserve">Botnroll (PT)</t>
  </si>
  <si>
    <t xml:space="preserve">Sim</t>
  </si>
  <si>
    <t xml:space="preserve">PTRobotics vende o MESMO por €131,98 — comparar sempre. Preços subiram 2x em 2026 pela escassez mundial de LPDDR4X. Upgrade 8GB: +€93 (só se quiserem correr também um LLM local).</t>
  </si>
  <si>
    <t xml:space="preserve">Fonte oficial USB-C 27 W</t>
  </si>
  <si>
    <t xml:space="preserve">Alimentação de bancada, para as fases 1-4.</t>
  </si>
  <si>
    <t xml:space="preserve">A partir da fase 5 o robô passa a usar a bateria. Esta fica para a bancada.</t>
  </si>
  <si>
    <t xml:space="preserve">Cartão microSD 64 GB A2/V30</t>
  </si>
  <si>
    <t xml:space="preserve">Onde vive o sistema operativo e o código.</t>
  </si>
  <si>
    <t xml:space="preserve">Qualquer</t>
  </si>
  <si>
    <t xml:space="preserve">Estimativa</t>
  </si>
  <si>
    <t xml:space="preserve">Tem de ser A2 — os cartões lentos tornam o Pi insuportável.</t>
  </si>
  <si>
    <t xml:space="preserve">Active Cooler oficial (ventoinha)</t>
  </si>
  <si>
    <t xml:space="preserve">O Pi 5 aquece e reduz a velocidade sem arrefecimento.</t>
  </si>
  <si>
    <t xml:space="preserve">Não é opcional se o robô vai correr Whisper e OpenCV.</t>
  </si>
  <si>
    <t xml:space="preserve">Jumpers, breadboard, parafusos M2.5/M3</t>
  </si>
  <si>
    <t xml:space="preserve">Consumíveis. Comprar a dobrar — perdem-se sempre.</t>
  </si>
  <si>
    <t xml:space="preserve">Jumper M-F, M-M e F-F. Parafusos M2.5 para o Pi e M3 para a estrutura.</t>
  </si>
  <si>
    <t xml:space="preserve">2</t>
  </si>
  <si>
    <t xml:space="preserve">reSpeaker XVF3800 USB — 4 mics com AEC, E A PLACA DE SOM</t>
  </si>
  <si>
    <t xml:space="preserve">OS OUVIDOS E A VOZ. A coluna liga-se a ele, não ao Pi (o Pi 5 não tem saída de som).</t>
  </si>
  <si>
    <t xml:space="preserve">Gotronic (FR) / Botland (PL)</t>
  </si>
  <si>
    <t xml:space="preserve">⚠️ VEM JÁ NA ENCOMENDA 1 PORQUE É POR ELE QUE SAI O SOM. Em modo USB o XMOS só cancela o eco se for o Pi a mandar-lhe o áudio por USB — é esse fluxo que serve de referência ao AEC. Um amplificador I2S no Pi (a escolha anterior, MAX98357A) tocava ao lado dele e deixava-o sem referência. A placa tem saída de coluna amplificada em JST PH 2.0 (até 5 W) e jack 3,5 mm. Zero soldadura, zero drivers (UAC 2.0), nada no config.txt — só duas linhas em /etc/asound.conf. ⚠️ NÃO EXISTE EM LOJA PT e o stock europeu anda apertado (Gotronic €59,90 com reposições; Kiwi esgotada; Seeed direta $60,99): encomendar no mesmo dia que o resto. Plano B: reSpeaker Lite €25 (tem AEC e saída de coluna, não tem beamforming).</t>
  </si>
  <si>
    <t xml:space="preserve">Coluna DFRobot 3 W · 8 Ω · ficha JST PH 2.0 (Botnroll: 'Coluna stereo - 3W')</t>
  </si>
  <si>
    <t xml:space="preserve">Onde sai o som. Encaixa diretamente na ficha JST PH 2.0 do reSpeaker.</t>
  </si>
  <si>
    <t xml:space="preserve">Apesar do nome na loja, é UMA coluna (DFRobot, ref. ELT03006): 3 W, 8 Ω, caixa fechada 70×30×16 mm, cabo de 42 cm já com ficha JST PH 2.0 — a mesma da saída do reSpeaker. Em stock a 25/08/2026. 8 Ω é o certo para o amplificador da placa; testar o sítio antes de colar — a caixa fechada dá mais grave que um cone nu.</t>
  </si>
  <si>
    <t xml:space="preserve">9</t>
  </si>
  <si>
    <t xml:space="preserve">Camera Module 3 · 76° · 12 MP (oficial, SC1223)</t>
  </si>
  <si>
    <t xml:space="preserve">Os olhos que veem. Autofoco — decisivo para caras a 1-3 m.</t>
  </si>
  <si>
    <t xml:space="preserve">Só é precisa na fase 9, mas vem já: mesma loja que o Pi, poupa um envio. MAIS BARATA NA MAUSER: €29,99 com 80 unidades em stock e levantamento grátis nas lojas (Porto, Lisboa, Leiria, Corroios, Portela, Freixeira, Funchal). Poupa €2,81 — só compensa se fores lá levantar ou se juntares mais de €50.</t>
  </si>
  <si>
    <t xml:space="preserve">Cabo CSI oficial 22→15 pinos · 200 mm (SC1128)</t>
  </si>
  <si>
    <t xml:space="preserve">Sem isto a câmara NÃO liga ao Pi 5.</t>
  </si>
  <si>
    <t xml:space="preserve">⚠️ ERRO MAIS COMUM DO PI 5. O Pi 5 mudou para conectores de 22 pinos; a câmara vem com o cabo antigo de 15. É o cabo OFICIAL da Raspberry Pi, ref. CAB07019 na Botnroll. Na Mauser é o SC1892 a €1,17.</t>
  </si>
  <si>
    <t xml:space="preserve">2 · A cara e a energia</t>
  </si>
  <si>
    <t xml:space="preserve">3</t>
  </si>
  <si>
    <t xml:space="preserve">Painel HUB75 64×32 RGB (P2.5) — A CARA</t>
  </si>
  <si>
    <t xml:space="preserve">16 milhões de cores, 2048 pixéis. O coração pode ser vermelho.</t>
  </si>
  <si>
    <t xml:space="preserve">The Pi Hut (UK)</t>
  </si>
  <si>
    <t xml:space="preserve">£17,30 no Pi Hut, em stock. ⚠️ Mede 160×80 mm — a cabeça tem de crescer de ~16 para ~18 cm. 64×32 é EXATAMENTE o máximo dos sliders do bot-face. Consumo real 0,3-0,6 A (os 4 A anunciados são branco total). Alimentar do barramento de 5,1 V com fio grosso e fusível PRÓPRIO, nunca pelo ESP32.</t>
  </si>
  <si>
    <t xml:space="preserve">Cablagem HUB75 ↔ ESP32 (shield ou protoboard)</t>
  </si>
  <si>
    <t xml:space="preserve">13 fios entre o painel e o ESP32.</t>
  </si>
  <si>
    <t xml:space="preserve">O ESP32 Trinity e o MatrixPortal S3 estavam esgotados em 2026 — fazer à mão numa protoboard, ou procurar um ESP32 I2S Matrix Shield. O ESP32 em si é o que já temos: custo zero.</t>
  </si>
  <si>
    <t xml:space="preserve">5</t>
  </si>
  <si>
    <t xml:space="preserve">Pack LiFePO4 4S 12,8 V ~6 Ah com BMS</t>
  </si>
  <si>
    <t xml:space="preserve">A bateria única de todo o sistema. ~77 Wh = 4h+.</t>
  </si>
  <si>
    <t xml:space="preserve">eBay.de / Amazon.de</t>
  </si>
  <si>
    <t xml:space="preserve">⚠️ QUÍMICA ESCOLHIDA POR SEGURANÇA: a LFP não tem fuga térmica auto-alimentada como a Li-ion/LiPo. Stock escasso em lojas maker PT — confirmar cedo. Plano B: 3S Li-ion 18650 com BMS em caixa rígida. ⚠️ PEDIR BMS DE PORTA COMUM (common port): o robô fica ligado à ficha em cima da secretária, e um BMS de porta separada não deixa carregar e descarregar ao mesmo tempo.</t>
  </si>
  <si>
    <t xml:space="preserve">Carregador LiFePO4 14,6 V</t>
  </si>
  <si>
    <t xml:space="preserve">Carregar SEMPRE fora do robô e com vigilância.</t>
  </si>
  <si>
    <t xml:space="preserve">Tem de ser específico para LiFePO4 — um carregador de Li-ion (12,6V) não carrega, e um de chumbo estraga.</t>
  </si>
  <si>
    <t xml:space="preserve">Regulador 5 V / 5 A (Pololu D24V50F5) → Pi</t>
  </si>
  <si>
    <t xml:space="preserve">O barramento do Raspberry Pi.</t>
  </si>
  <si>
    <t xml:space="preserve">Botland (PL)</t>
  </si>
  <si>
    <t xml:space="preserve">6-38V entrada, 85-95% eficiência. Confirmar o SKU exato. Se aparecer subtensão, usar um ajustável a 5,15V.</t>
  </si>
  <si>
    <t xml:space="preserve">Regulador 5,7 V / 6 A → servos</t>
  </si>
  <si>
    <t xml:space="preserve">Barramento próprio dos 5 servos.</t>
  </si>
  <si>
    <t xml:space="preserve">⚠️ 5,7V e não 6,0V: o MG90S é 4,8-6,0V e a 6,0 ficaria no topo absoluto. O DS3218 a 5,7V ainda dá ~16 kg·cm. ⚠️ 6A e não 5A: os stalls somados dão ~8,4A. O software escalona o arranque (bracos.intervalo_s) para o pico caber. Servos NUNCA nos pinos de 5V do Pi.</t>
  </si>
  <si>
    <t xml:space="preserve">Regulador 7,4 V / 5 A → motores</t>
  </si>
  <si>
    <t xml:space="preserve">Barramento dos motores. 7,4V = tensão nominal dos motores do mBot2.</t>
  </si>
  <si>
    <t xml:space="preserve">Variante de 7,5V da mesma família serve. Confirmar SKU.</t>
  </si>
  <si>
    <t xml:space="preserve">Fusíveis, interruptor, BOTÃO DE EMERGÊNCIA (DPST)</t>
  </si>
  <si>
    <t xml:space="preserve">Proteção e paragem física.</t>
  </si>
  <si>
    <t xml:space="preserve">Fusível principal 10A + 3A (Pi) + 6A (servos) + 5A (motores). ⚠️ O botão TEM de ser de DOIS POLOS (DPST): com um polo só, os dois barramentos ficariam ligados um ao outro através dele. Corta servos e motores mas NÃO o Pi — o robô para de se mexer e continua a explicar porquê. Incluir 1 resistência de 10k para o pull-up do OE.</t>
  </si>
  <si>
    <t xml:space="preserve">XT60 pigtails (já com fio) + fio 18 AWG e 22 AWG</t>
  </si>
  <si>
    <t xml:space="preserve">Cablagem de potência, sem soldar.</t>
  </si>
  <si>
    <t xml:space="preserve">⚠️ COMPRAR 'PIGTAILS': XT30/XT60 que já vêm com o fio soldado de fábrica. Zero soldadura na ligação mais crítica do robô. 18 AWG (0,82mm²) na potência; 22-24 AWG só para sinal.</t>
  </si>
  <si>
    <t xml:space="preserve">Conectores WAGO 221-413 (pack 20)</t>
  </si>
  <si>
    <t xml:space="preserve">Ligações de potência sem soldar nem cravar.</t>
  </si>
  <si>
    <t xml:space="preserve">⚠️ ISTO SUBSTITUI SOLDADURA NO CAMINHO DE POTÊNCIA. Nominal 32 A (usamos 5 A = 16%), aceita 18 AWG, e tem aprovações DNV/ABS/Lloyd's — ou seja, qualificados para vibração a bordo de navios. Fiáveis num robô, desde que se ponha uma abraçadeira de alívio de tração para o fio não ser puxado.</t>
  </si>
  <si>
    <t xml:space="preserve">Condensadores bulk (2× 2200 µF, 2× 1000 µF, 100 nF)</t>
  </si>
  <si>
    <t xml:space="preserve">Cobrem os picos de arranque de motores e servos.</t>
  </si>
  <si>
    <t xml:space="preserve">2200 µF low-ESR ≥25V nos servos, 1000 µF nos motores, 100 nF cerâmico em paralelo em cada e nos terminais de cada motor.</t>
  </si>
  <si>
    <t xml:space="preserve">Protoboard tamanho HAT + barras de pinos</t>
  </si>
  <si>
    <t xml:space="preserve">Onde vivem os reguladores, PCA9685 e TB6612.</t>
  </si>
  <si>
    <t xml:space="preserve">Sem HATs: assim o GPIO fica todo acessível e não há problema de stacking header.</t>
  </si>
  <si>
    <t xml:space="preserve">3 · Movimento e braços</t>
  </si>
  <si>
    <t xml:space="preserve">6</t>
  </si>
  <si>
    <t xml:space="preserve">2× PCA9685 16 canais — CLONES JÁ SOLDADOS</t>
  </si>
  <si>
    <t xml:space="preserve">Um a 1 kHz para motores (0x40), outro a 50 Hz para servos (0x41).</t>
  </si>
  <si>
    <t xml:space="preserve">AliExpress / Botland</t>
  </si>
  <si>
    <t xml:space="preserve">⚠️ COMPRAR OS CLONES, NÃO O DA ADAFRUIT. O da Adafruit exige soldar 48 juntas de servo à mão; os clones vêm totalmente soldados e custam um terço. São DOIS porque o chip tem uma só frequência: servos querem 50 Hz, motores a 50 Hz rosnam. ⚠️ Só falta pontear o jumper A0 no segundo (→0x41) — uma gota de solda, ou um fio.</t>
  </si>
  <si>
    <t xml:space="preserve">TB6612FNG — SparkFun 'with Headers'</t>
  </si>
  <si>
    <t xml:space="preserve">Ponte H dos dois motores. 1,2 A por canal.</t>
  </si>
  <si>
    <t xml:space="preserve">SparkFun / Botland</t>
  </si>
  <si>
    <t xml:space="preserve">⚠️ A versão 'with Headers' (ROB-14451) vem com os pinos soldados de fábrica: 'without any assembly'. Custa o dobro do clone nu e poupa 16 juntas. Os motores do mBot2 puxam ≤750 mA — cabe com folga.</t>
  </si>
  <si>
    <t xml:space="preserve">7</t>
  </si>
  <si>
    <t xml:space="preserve">Sensor ultrassónico HC-SR04P</t>
  </si>
  <si>
    <t xml:space="preserve">Mede distância à frente. Evita bater nas paredes.</t>
  </si>
  <si>
    <t xml:space="preserve">⚠️ TEM DE SER O 'P' (3,3-5V). O HC-SR04 normal (€3,60) devolve 5V no Echo e QUEIMA o GPIO do Pi.</t>
  </si>
  <si>
    <t xml:space="preserve">Sensor ToF VL53L1X (I2C, até 4 m)</t>
  </si>
  <si>
    <t xml:space="preserve">Distância a laser, mais precisa e mais longe que o ultrassons.</t>
  </si>
  <si>
    <t xml:space="preserve">I2C 0x29. O VL53L0X (€10,50) chega mas só vai a 1,2 m.</t>
  </si>
  <si>
    <t xml:space="preserve">Sensor de precipício TCRT5000 3CH</t>
  </si>
  <si>
    <t xml:space="preserve">Impede o robô de cair da mesa.</t>
  </si>
  <si>
    <t xml:space="preserve">3 canais IR. Serve também para seguir uma linha no chão.</t>
  </si>
  <si>
    <t xml:space="preserve">ADS1115 (ADC 16 bits, I2C) — já soldado</t>
  </si>
  <si>
    <t xml:space="preserve">Mede a tensão da bateria — o robô sabe quando tem fome.</t>
  </si>
  <si>
    <t xml:space="preserve">⚠️ Escolher um clone com pinos soldados (~€4) ou o da Adafruit com conector STEMMA QT (~€15), que dispensa soldar E dispensa jumpers. I2C 0x48. Precisa de um divisor resistivo (100k + 22k) para baixar 12,8V para menos de 3,3V — o Pi não tem ADC nenhum.</t>
  </si>
  <si>
    <t xml:space="preserve">8</t>
  </si>
  <si>
    <t xml:space="preserve">2× servo digital DS3218 (~20 kg·cm) — ombros</t>
  </si>
  <si>
    <t xml:space="preserve">Os ombros aguentam o peso do braço todo.</t>
  </si>
  <si>
    <t xml:space="preserve">Cálculo: braço de 15cm com 80g na ponta ≈ 3 kg·cm; com fator 3 → 9 kg·cm. Os clones de MG996R (9,4 kg·cm) chegavam mas são inconsistentes e barulhentos.</t>
  </si>
  <si>
    <t xml:space="preserve">3× servo MG90S — cotovelos e garra</t>
  </si>
  <si>
    <t xml:space="preserve">Metal gear, 2,2 kg·cm. Suficiente para cotovelo e garra.</t>
  </si>
  <si>
    <t xml:space="preserve">⚠️ MG90S é 4,8-6V — não os ligar ao barramento de 7,4V dos motores.</t>
  </si>
  <si>
    <t xml:space="preserve">Horns, braçadeiras e parafusos para servos</t>
  </si>
  <si>
    <t xml:space="preserve">Ferragem dos braços.</t>
  </si>
  <si>
    <t xml:space="preserve">Suportes standard para DS3218 e MG90S existem no Printables/Thingiverse.</t>
  </si>
  <si>
    <t xml:space="preserve">4 · O corpo</t>
  </si>
  <si>
    <t xml:space="preserve">13</t>
  </si>
  <si>
    <t xml:space="preserve">Acrílico PRETO de difusão 2-3 mm (~170×90 mm)</t>
  </si>
  <si>
    <t xml:space="preserve">O visor. Esconde o painel apagado, deixa passar a luz.</t>
  </si>
  <si>
    <t xml:space="preserve">acrylglas-shop / Adafruit</t>
  </si>
  <si>
    <t xml:space="preserve">⚠️ Tem de ser acrílico LED preto (~18% de transmissão), não fumado transparente. PLEXIGLAS GS LED 9H04 SC ou Adafruit Black LED Diffusion. 2-3mm é o ponto certo: mais grosso escurece demais. ⚠️ Isto é o que EXCLUI um LCD: a luz emitida atravessa o acrílico 1x mas os reflexos atravessam 2x — ótimo para fontes emissivas (HUB75), péssimo para um LCD de 280 nits, que ficaria em ~50.</t>
  </si>
  <si>
    <t xml:space="preserve">LEDs azuis 5mm (20x) + resistências 120 ohm</t>
  </si>
  <si>
    <t xml:space="preserve">O brilho dos propulsores e do peito.</t>
  </si>
  <si>
    <t xml:space="preserve">⚠️ CADA grupo precisa da SUA resistência em série — 120 ohm para LED azul (~3,2V) a 5V com 15mA. Vão nos canais 6 e 7 do PCA9685 dos MOTORES (1 kHz); no dos servos (50 Hz) tremeriam de forma visível.</t>
  </si>
  <si>
    <t xml:space="preserve">Vinil espelhado / tinta cromada</t>
  </si>
  <si>
    <t xml:space="preserve">A calote do topo da cabeça e os cotovelos.</t>
  </si>
  <si>
    <t xml:space="preserve">Papelaria / bricolage</t>
  </si>
  <si>
    <t xml:space="preserve">O chrome dome é uma marca registada do personagem. Custa quase nada e muda a leitura da silhueta toda.</t>
  </si>
  <si>
    <t xml:space="preserve">Filamento PLA branco + PLA azul + PETG</t>
  </si>
  <si>
    <t xml:space="preserve">As cores do Astro. PETG só onde toca na eletrónica.</t>
  </si>
  <si>
    <t xml:space="preserve">filamentos.pt</t>
  </si>
  <si>
    <t xml:space="preserve">⚠️ O PLA amolece aos ~60C: usar PETG (~80C) em tudo o que toque no Pi ou nos reguladores. E um robô branco esquecido ao sol de verão em Portugal empena. Cores: F4F6F8 branco, 1E7FD4 azul.</t>
  </si>
  <si>
    <t xml:space="preserve">Contraplacado 3 mm / acrílico, cartão, tintas, cola quente</t>
  </si>
  <si>
    <t xml:space="preserve">O corpo. Cartão PRIMEIRO, sempre.</t>
  </si>
  <si>
    <t xml:space="preserve">Duas horas em cartão ensinam mais sobre o que corre mal do que uma semana de CAD.</t>
  </si>
  <si>
    <t xml:space="preserve">Parafusos, espaçadores M3, cantoneiras</t>
  </si>
  <si>
    <t xml:space="preserve">Estrutura vertical de 35-40 cm.</t>
  </si>
  <si>
    <t xml:space="preserve">O chassis do mBot2 tem furos roscados M4; a estrutura por cima pode ser M3.</t>
  </si>
  <si>
    <t xml:space="preserve">Impressão 3D por serviço — SE ainda não houver impressora</t>
  </si>
  <si>
    <t xml:space="preserve">Só DEPOIS de o protótipo em cartão estar validado.</t>
  </si>
  <si>
    <t xml:space="preserve">Serviço online / FabLab</t>
  </si>
  <si>
    <t xml:space="preserve">Riscar esta linha se comprarem a impressora (ver a folha Impressora 3D). PLA com paredes 3-4mm. NUNCA imprimir antes de a versão em cartão ter sido usada uma semana.</t>
  </si>
  <si>
    <t xml:space="preserve">14</t>
  </si>
  <si>
    <t xml:space="preserve">3× sensor de toque TTP223 (com pinos soldados)</t>
  </si>
  <si>
    <t xml:space="preserve">Cabeça, costas e frente. O robô sente que lhe tocam.</t>
  </si>
  <si>
    <t xml:space="preserve">AliExpress / BerryBase</t>
  </si>
  <si>
    <t xml:space="preserve">⭐ MELHOR RELAÇÃO CUSTO/EFEITO DE TODO O PROJETO. O Eilik — o robô de secretária que as pessoas descrevem como mais VIVO dos três de referência — não tem câmara nenhuma: constrói a personalidade toda em cima de três sensores de toque e de coisas que faz sozinho. GPIO 4, 16 e 26 (livres). Comprar a versão COM PINOS já soldados.</t>
  </si>
  <si>
    <t xml:space="preserve">5 · Sobressalentes</t>
  </si>
  <si>
    <t xml:space="preserve">—</t>
  </si>
  <si>
    <t xml:space="preserve">1× MG90S, 1× TB6612, fusíveis e cabos extra</t>
  </si>
  <si>
    <t xml:space="preserve">Coisas partem-se num projeto de 4 meses.</t>
  </si>
  <si>
    <t xml:space="preserve">Esperar uma semana por uma peça de €5 mata o ritmo — e o entusiasmo de uma criança de 11 anos.</t>
  </si>
  <si>
    <t xml:space="preserve">TOTAL BASE</t>
  </si>
  <si>
    <t xml:space="preserve">Orçamento definido: até €1000</t>
  </si>
  <si>
    <t xml:space="preserve">RESUMO DO ORÇAMENTO · v4.2</t>
  </si>
  <si>
    <t xml:space="preserve">Quando comprar</t>
  </si>
  <si>
    <t xml:space="preserve">Nº de peças</t>
  </si>
  <si>
    <t xml:space="preserve">Custo</t>
  </si>
  <si>
    <t xml:space="preserve">Agora — precisa nas fases 1-3 (o reSpeaker é a placa de som: fase 2)</t>
  </si>
  <si>
    <t xml:space="preserve">Durante a fase 2 — precisa nas fases 3-5</t>
  </si>
  <si>
    <t xml:space="preserve">Durante a fase 4 — precisa nas fases 6-8</t>
  </si>
  <si>
    <t xml:space="preserve">Durante a fase 8 — precisa na fase 13</t>
  </si>
  <si>
    <t xml:space="preserve">Com qualquer uma das outras</t>
  </si>
  <si>
    <t xml:space="preserve">TOTAL</t>
  </si>
  <si>
    <t xml:space="preserve">Orçamento mínimo</t>
  </si>
  <si>
    <t xml:space="preserve">Orçamento máximo</t>
  </si>
  <si>
    <t xml:space="preserve">Folga para upgrades</t>
  </si>
  <si>
    <t xml:space="preserve">Dentro do orçamento?</t>
  </si>
  <si>
    <t xml:space="preserve">ESTRATÉGIA DE COMPRA</t>
  </si>
  <si>
    <t xml:space="preserve">• REGRA: cada encomenda tem de CHEGAR antes da fase que precisa dela. A coluna Fase diz qual.</t>
  </si>
  <si>
    <t xml:space="preserve">• O reSpeaker é a placa de som do robô (microfones E coluna) e é preciso já na FASE 2 — por isso está na encomenda 1 e não na 4; o painel HUB75 na FASE 3. As encomendas agrupam-se pela fase em que a peça é precisa, não pelo tipo de peça.</t>
  </si>
  <si>
    <t xml:space="preserve">• Encomendar a seguinte enquanto se trabalha na fase anterior: os portes da Alemanha demoram uma semana.</t>
  </si>
  <si>
    <t xml:space="preserve">• Se o projeto parar na fase 5, pouparam-se ~€310 (as encomendas 3 e 4).</t>
  </si>
  <si>
    <t xml:space="preserve">• O Raspberry Pi é a peça cujo preço mais tem oscilado (escassez mundial de memória em 2026) — comprar cedo.</t>
  </si>
  <si>
    <t xml:space="preserve">• Comparar sempre Botnroll, Mauser e PTRobotics. No Pi 5 de 4 GB: Botnroll €95,90, PTRobotics €131,98, Mauser €119,88 e esgotado. Na câmara é ao contrário: Mauser €29,99, Botnroll €32,80.</t>
  </si>
  <si>
    <t xml:space="preserve">• Confirmar stock antes de encomendar — vários módulos apareciam esgotados durante a pesquisa.</t>
  </si>
  <si>
    <t xml:space="preserve">ALTERNATIVAS, UPGRADES E O QUE NÃO COMPRAR</t>
  </si>
  <si>
    <t xml:space="preserve">Item</t>
  </si>
  <si>
    <t xml:space="preserve">Preço</t>
  </si>
  <si>
    <t xml:space="preserve">Categoria</t>
  </si>
  <si>
    <t xml:space="preserve">Veredicto</t>
  </si>
  <si>
    <t xml:space="preserve">Porquê</t>
  </si>
  <si>
    <t xml:space="preserve">Ler os encoders com o ESP32</t>
  </si>
  <si>
    <t xml:space="preserve">Upgrade da tração</t>
  </si>
  <si>
    <t xml:space="preserve">SIM — na v2</t>
  </si>
  <si>
    <t xml:space="preserve">Os motores do mBot2 JÁ TÊM encoders e os fios já vão ligados ao Pi (GPIO 5, 6, 12, 13). O que falta é quem os conte: em Python no Pi 5, a ~1200 Hz por canal, desperdiça CPU — e o pigpio, que fazia isto por DMA, não funciona no Pi 5. O ESP32 que já temos tem 8 contadores de quadratura EM HARDWARE. Custo: zero.</t>
  </si>
  <si>
    <t xml:space="preserve">Modelo AMÁLIA 9B (LLM pt-PT)</t>
  </si>
  <si>
    <t xml:space="preserve">Upgrade do cérebro</t>
  </si>
  <si>
    <t xml:space="preserve">SIM — testar</t>
  </si>
  <si>
    <t xml:space="preserve">LLM aberto FEITO PARA PORTUGUÊS EUROPEU, de um consórcio nacional, licença Apache 2.0, treinado com o Arquivo.pt. Bate o Gemma 3-12B em exames em português. Mas não documenta tool calling — usar só para o 'modo conversa', não para dar ordens ao robô.</t>
  </si>
  <si>
    <t xml:space="preserve">Raspberry Pi 5 · 8 GB</t>
  </si>
  <si>
    <t xml:space="preserve">NÃO</t>
  </si>
  <si>
    <t xml:space="preserve">+€93 para o mesmo resultado. O de 4 GB corre Whisper base + OpenCV sem problemas.</t>
  </si>
  <si>
    <t xml:space="preserve">Raspberry Pi 5 · 2 GB</t>
  </si>
  <si>
    <t xml:space="preserve">Downgrade (poupança)</t>
  </si>
  <si>
    <t xml:space="preserve">PLANO B</t>
  </si>
  <si>
    <t xml:space="preserve">Poupa €27. Funciona, mas fica apertado com Whisper e OpenCV ao mesmo tempo. Só se o orçamento apertar.</t>
  </si>
  <si>
    <t xml:space="preserve">2º sensor ToF VL53L1X — apontado ao chão</t>
  </si>
  <si>
    <t xml:space="preserve">Fase 16 · seguir</t>
  </si>
  <si>
    <t xml:space="preserve">SIM, quando chegar a fase 16</t>
  </si>
  <si>
    <t xml:space="preserve">⚠️ O QUE TORNA O MODO SEGUIR SEGURO. Um TCRT5000 no para-choques vê o degrau ~5 cm à frente das rodas, o que só dá margem até ~27 cm/s — chega para a secretária, não chega para seguir alguém. Um ToF apontado obliquamente ao chão vê 30 cm à frente e sobe a velocidade segura para ~81 cm/s. ⚠️ Fica no mesmo endereço I2C (0x29) do que já temos: é preciso um pino XSHUT por sensor para os arrancar um de cada vez e mudar o endereço de um deles. Ver D17.</t>
  </si>
  <si>
    <t xml:space="preserve">AI HAT+ 26 TOPS (Hailo-8)</t>
  </si>
  <si>
    <t xml:space="preserve">Acelerador de IA</t>
  </si>
  <si>
    <t xml:space="preserve">⚠️ 15% do orçamento do robô para acelerar uma coisa que o CPU do Pi 5 já faz bem. Reconhecer 4-6 caras conhecidas corre a 15-25 FPS sem acelerador, e o robô precisa de 2-5. E NÃO faz IA generativa: não tem memória própria, é só visão — o YuNet e o SFace teriam de ser recompilados para o formato HEF da Hailo, ou seja refazer a perceção toda no SDK deles. €129,99 na Mauser (42 em stock).</t>
  </si>
  <si>
    <t xml:space="preserve">AI HAT+ 2 · 40 TOPS (Hailo-10H) — o do LLM local</t>
  </si>
  <si>
    <t xml:space="preserve">NÃO (por agora)</t>
  </si>
  <si>
    <t xml:space="preserve">É o único que corre mesmo LLM e Whisper no próprio Pi: 8 GB de RAM próprios, 40 TOPS INT4, $130 nos EUA e £192 (~€220) na The Pi Hut. Três travões: (1) SÓ AGUENTA UM MODELO DE CADA VEZ — o Whisper tem de sair para o LLM entrar e vice-versa, que é exatamente a forma errada para um robô que conversa; (2) o Jeff Geerling mediu e o CPU do Pi 5 BATE-O a gerar tokens — 'a solution in search of a problem', e ele desistiu do exemplo de visão+LLM porque rebentava com segfault; (3) os modelos são de 1-1,5B (Llama3.2, Qwen2.5, DeepSeek-R1-Distill) contra os 12B do gemma4 no Mac, e ninguém documenta tool calling na stack da Hailo. Rever quando o robô quiser sair de casa sem o Mac.</t>
  </si>
  <si>
    <t xml:space="preserve">Coral USB Accelerator</t>
  </si>
  <si>
    <t xml:space="preserve">NÃO COMPRAR</t>
  </si>
  <si>
    <t xml:space="preserve">A Google ARQUIVOU o repositório google-coral/edgetpu em 19/04/2026. O PyCoral está preso ao Python 3.9 e não funciona no Raspberry Pi OS atual. Projeto morto. E mesmo vivo nunca serviria para voz: 8 MB de SRAM só dão para modelos de visão quantizados a int8.</t>
  </si>
  <si>
    <t xml:space="preserve">ReSpeaker 2-Mics Pi HAT</t>
  </si>
  <si>
    <t xml:space="preserve">Áudio</t>
  </si>
  <si>
    <t xml:space="preserve">É a placa de todos os tutoriais de assistentes de voz — mas o repositório oficial do driver lista Pi 3, Pi 4 e Zero. O PI 5 NÃO APARECE. Há problemas conhecidos com kernels 6.x. Usar microfone USB.</t>
  </si>
  <si>
    <t xml:space="preserve">2× OLED SSD1306 0,96"</t>
  </si>
  <si>
    <t xml:space="preserve">A cara — alternativa</t>
  </si>
  <si>
    <t xml:space="preserve">ALTERNATIVA VÁLIDA</t>
  </si>
  <si>
    <t xml:space="preserve">I2C (2 fios), sem soldar, imune ao problema de GPIO do Pi 5. Mais fácil que o MAX7219 mas menos 'robô'. Precisa de endereços diferentes (0x3C/0x3D).</t>
  </si>
  <si>
    <t xml:space="preserve">Chassis tanque Keyestudio Mini Tank V3</t>
  </si>
  <si>
    <t xml:space="preserve">Chassis alternativo</t>
  </si>
  <si>
    <t xml:space="preserve">Boa mecânica com lagartas, mas traz um controlador Arduino que fica redundante com o Pi, e pede 2× 18650.</t>
  </si>
  <si>
    <t xml:space="preserve">Waveshare Motor Driver HAT</t>
  </si>
  <si>
    <t xml:space="preserve">Driver alternativo</t>
  </si>
  <si>
    <t xml:space="preserve">REJEITADO NA v2</t>
  </si>
  <si>
    <t xml:space="preserve">Era a escolha da v1. É I2C e funciona, mas o conector fêmea não tem passagem para cima — teria de se soldar um header empilhável ao próprio HAT. Com breakouts (2× PCA9685 + TB6612) numa protoboard, o GPIO fica todo acessível e cabe o pino OE.</t>
  </si>
  <si>
    <t xml:space="preserve">L298N</t>
  </si>
  <si>
    <t xml:space="preserve">Barato e omnipresente nos tutoriais, mas antiquado: perde ~2 V e aquece. Além disso depende de GPIO direto.</t>
  </si>
  <si>
    <t xml:space="preserve">HC-SR04 (versão normal 5 V)</t>
  </si>
  <si>
    <t xml:space="preserve">Sensor</t>
  </si>
  <si>
    <t xml:space="preserve">⚠️ Devolve 5 V no pino Echo e destrói o GPIO de 3,3 V do Pi. Poupa €1,30 e arrisca €95. Comprar a versão 'P'.</t>
  </si>
  <si>
    <t xml:space="preserve">Bateria LiPo/Li-ion 3S</t>
  </si>
  <si>
    <t xml:space="preserve">Alimentação</t>
  </si>
  <si>
    <t xml:space="preserve">⚠️ Escolhemos LiFePO4 porque a química LFP não tem fuga térmica auto-alimentada. Se não houver stock de LiFePO4 (é escasso em PT), um pack 3S Li-ion COM BMS E EM CAIXA RÍGIDA é aceitável. Células nuas, nunca.</t>
  </si>
  <si>
    <t xml:space="preserve">Matriz MAX7219 32×16 azul</t>
  </si>
  <si>
    <t xml:space="preserve">REJEITADA na v3</t>
  </si>
  <si>
    <t xml:space="preserve">Era a escolha até existir o bot-face. Barata, madura e sem risco — mas monocromática. O Astro mostra corações vermelhos, e o demo já tinha a expressão 'heart'. 512 px contra 2048.</t>
  </si>
  <si>
    <t xml:space="preserve">2× ecrã redondo GC9A01 240×240</t>
  </si>
  <si>
    <t xml:space="preserve">⚠️ Cai por causa do faceplate escuro: um LCD de 280 nits atrás de acrílico a 18% fica em ~50 nits, ilegível numa sala iluminada. A luz emitida atravessa o acrílico 1x, os reflexos 2x — o acrílico escuro favorece fontes emissivas e penaliza LCDs. E perde-se o aspeto pixelado, que é o que queremos.</t>
  </si>
  <si>
    <t xml:space="preserve">HUB75 ligado diretamente ao Raspberry Pi 5</t>
  </si>
  <si>
    <t xml:space="preserve">⚠️ A PioMatter funciona mas exige 13 pinos GPIO, e QUATRO colidem com o que já temos: 17, 22 e 27 (sensores de precipício) e 23 (ultrassons). Além disso não tem versão nova há 13 meses e gastaria um core do Pi. O ESP32 resolve tudo isto por 0 euros.</t>
  </si>
  <si>
    <t xml:space="preserve">Regulador de 5 A para os servos</t>
  </si>
  <si>
    <t xml:space="preserve">NÃO CHEGA</t>
  </si>
  <si>
    <t xml:space="preserve">⚠️ Os stalls somados dão ~8,4 A (2× DS3218 a ~3 A + 3× MG90S a ~0,7 A). Um regulador de 5 A com 2200 µF só cobre ~1 ms de défice. Comprar 6 A, e escalonar o arranque dos servos no software.</t>
  </si>
  <si>
    <t xml:space="preserve">Botão de emergência de 1 polo</t>
  </si>
  <si>
    <t xml:space="preserve">Segurança</t>
  </si>
  <si>
    <t xml:space="preserve">⚠️ Com um polo só, os barramentos de 5,7 V e 7,4 V ficariam ligados um ao outro através do botão. Tem de ser DPST.</t>
  </si>
  <si>
    <t xml:space="preserve">Câmara OV5647 5 MP c/ foco ajustável e 2 iluminadores IR</t>
  </si>
  <si>
    <t xml:space="preserve">Câmara — alternativa</t>
  </si>
  <si>
    <t xml:space="preserve">NÃO (mas SIM como extra, depois)</t>
  </si>
  <si>
    <t xml:space="preserve">⚠️ Mais barata (-€11) e faz visão noturna — mas para RECONHECER CARAS é pior em três pontos. (1) Para os IR servirem, o sensor não tem filtro de infravermelhos: de dia o IR do sol e das lâmpadas entra como se fosse vermelho e a pele fica cerosa e sem cor. (2) O SFace foi treinado com fotografias de luz visível; a assinatura de uma cara iluminada a IR cai noutra distribuição (o problema NIR-VIS da literatura) — a Lara registava-se de dia e à noite deixava de ser reconhecida. (3) Foco manual por parafuso: fixa-se uma vez. NOTA: o Pi 5 tem DUAS entradas CSI. Isto pode entrar mais tarde como segunda câmara de 'modo noturno', sem tirar nada.</t>
  </si>
  <si>
    <t xml:space="preserve">InnoMaker 4K 8 MP STARVIS IMX415 (Amazon.es B0G633SLR1)</t>
  </si>
  <si>
    <t xml:space="preserve">A melhor das três alternativas vistas na Amazon, e a única que ENTREGA EM PORTUGAL. Sensor Sony STARVIS retroiluminado, 0,01 lux, com filtro de IR (não é NoIR). Traz os DOIS cabos, 15 e 22 pinos — dispensa o adaptador de €4,50, por isso fica €31 contra €37,30. MAS: foco manual por parafuso, não tem autofoco. E precisa de dtoverlay=imx415 no config.txt (o libcamera suporta-o desde 0.5.0+rpi20250707, kernel 6.12.25+). Usar só se a Camera Module 3 faltar no Botnroll.</t>
  </si>
  <si>
    <t xml:space="preserve">InnoMaker IMX708 autofoco (Amazon.es B0DJ6R67CY)</t>
  </si>
  <si>
    <t xml:space="preserve">⚠️ Mesmo sensor da Camera Module 3 e autofoco PDAF — mas €48,36, ou seja €15 MAIS CARO que o módulo oficial. Vem dos EUA e NÃO ENTREGA EM PORTUGAL. 3,8 estrelas com 29% de avaliações de 1-2 estrelas, várias mortas à chegada em Espanha e França. Exige camera_auto_detect=0 + dtoverlay=imx708.</t>
  </si>
  <si>
    <t xml:space="preserve">Arducam Camera Module 3 B0312 (Amazon.es B0C9PYCV9S)</t>
  </si>
  <si>
    <t xml:space="preserve">⚠️ Parece o módulo oficial e não é: a própria página diz 'different from official V3 camera, this camera needs some modification in configuration before use'. Traz o cabo 15→22, o que seria bom, mas vem do Reino Unido e NÃO ENTREGA EM PORTUGAL. €33,52 pelo não-oficial contra €32,80 pelo oficial no Botnroll não faz sentido.</t>
  </si>
  <si>
    <t xml:space="preserve">Camera Module 1 / OV5647 em geral (qualquer clone)</t>
  </si>
  <si>
    <t xml:space="preserve">CUIDADO</t>
  </si>
  <si>
    <t xml:space="preserve">A Camera Module 1 foi DESCONTINUADA pela Raspberry Pi. O driver continua no kernel e funciona, mas os clones nem sempre são apanhados pelo camera_auto_detect=1 e obrigam a pôr dtoverlay=ov5647 à mão no config.txt — há tópicos recorrentes no fórum oficial sobre exatamente isto no Pi 5. Se for versão NoIR ainda é preciso passar o ficheiro de tuning ov5647_noir.json ao libcamera. IMPORTANTE: o cabo adaptador 22→15 é preciso na mesma — não é uma desvantagem desta câmara, é do Pi 5.</t>
  </si>
  <si>
    <t xml:space="preserve">Módulo M.2 HAT+ (SSD NVMe)</t>
  </si>
  <si>
    <t xml:space="preserve">Armazenamento</t>
  </si>
  <si>
    <t xml:space="preserve">Mais rápido, mas um cartão microSD A2 chega para um robô, consome menos e é mais fácil de substituir quando a Lara o corromper (vai acontecer).</t>
  </si>
  <si>
    <t xml:space="preserve">Amplificador I2S MAX98357A ligado ao Pi</t>
  </si>
  <si>
    <t xml:space="preserve">Som — alternativa</t>
  </si>
  <si>
    <t xml:space="preserve">REJEITADO na v4.2</t>
  </si>
  <si>
    <t xml:space="preserve">⚠️ Era a escolha até 25/08/2026 e estava errada. Em modo USB, o XVF3800 só cancela o eco se for o Pi a mandar-lhe o áudio por USB — é esse fluxo que serve de referência ('the USB host provides the reference signal', documentação XMOS). Um amplificador no I2S do Pi toca ao lado do reSpeaker, que fica sem referência: os €60 de AEC deixavam de servir. A coluna liga-se à ficha JST PH 2.0 da placa do reSpeaker (saída amplificada, até 5 W). Bónus: zero soldadura na fase 2, nada no config.txt, GPIO 18/19/21 livres.</t>
  </si>
  <si>
    <t xml:space="preserve">ONDE COMPRAR</t>
  </si>
  <si>
    <t xml:space="preserve">Loja</t>
  </si>
  <si>
    <t xml:space="preserve">País</t>
  </si>
  <si>
    <t xml:space="preserve">Site</t>
  </si>
  <si>
    <t xml:space="preserve">Notas</t>
  </si>
  <si>
    <t xml:space="preserve">Botnroll</t>
  </si>
  <si>
    <t xml:space="preserve">Portugal</t>
  </si>
  <si>
    <t xml:space="preserve">botnroll.com</t>
  </si>
  <si>
    <t xml:space="preserve">MELHOR PREÇO no Raspberry Pi 5 (€95,90 os 4 GB) e catálogo forte de sensores. Primeira paragem. Tem a coluna certa ('Coluna stereo - 3W', €4,95) — mas NÃO tem o reSpeaker nem amplificadores I2S.</t>
  </si>
  <si>
    <t xml:space="preserve">Mauser</t>
  </si>
  <si>
    <t xml:space="preserve">mauser.pt</t>
  </si>
  <si>
    <t xml:space="preserve">SEGUNDA PARAGEM, e a melhor para a câmara: Camera Module 3 oficial a €29,99 (80 em stock) e cabo oficial SC1892 a €1,17 (224 em stock). SETE LOJAS FÍSICAS com levantamento GRÁTIS — Porto, Lisboa, Leiria, Corroios, Portela, Freixeira, Funchal. Portes €3,49 abaixo de €50, grátis acima. ⚠️ NÃO comprar aqui o Pi 5: €119,88 e sem stock.</t>
  </si>
  <si>
    <t xml:space="preserve">PTRobotics</t>
  </si>
  <si>
    <t xml:space="preserve">ptrobotics.com</t>
  </si>
  <si>
    <t xml:space="preserve">Bom catálogo e envio rápido, mas caro no Pi (€131,98 os mesmos 4 GB). Útil para peças que a Botnroll não tenha.</t>
  </si>
  <si>
    <t xml:space="preserve">BerryBase</t>
  </si>
  <si>
    <t xml:space="preserve">Alemanha</t>
  </si>
  <si>
    <t xml:space="preserve">berrybase.de</t>
  </si>
  <si>
    <t xml:space="preserve">Muito bom em módulos pequenos e breakouts baratos. Contar com portes e prazo maior.</t>
  </si>
  <si>
    <t xml:space="preserve">Welectron</t>
  </si>
  <si>
    <t xml:space="preserve">welectron.com</t>
  </si>
  <si>
    <t xml:space="preserve">Alternativa alemã, boa para HATs e câmaras. Verificar se a listagem está ativa — tem entradas duplicadas.</t>
  </si>
  <si>
    <t xml:space="preserve">The Pi Hut</t>
  </si>
  <si>
    <t xml:space="preserve">Reino Unido</t>
  </si>
  <si>
    <t xml:space="preserve">thepihut.com</t>
  </si>
  <si>
    <t xml:space="preserve">Referência para módulos Adafruit/Pimoroni e para o reSpeaker. ⚠️ Pós-Brexit: pode haver taxas alfandegárias.</t>
  </si>
  <si>
    <t xml:space="preserve">Pimoroni</t>
  </si>
  <si>
    <t xml:space="preserve">shop.pimoroni.com</t>
  </si>
  <si>
    <t xml:space="preserve">HATs de qualidade e bem documentados. Mesmo aviso alfandegário.</t>
  </si>
  <si>
    <t xml:space="preserve">Gotronic</t>
  </si>
  <si>
    <t xml:space="preserve">França</t>
  </si>
  <si>
    <t xml:space="preserve">gotronic.fr</t>
  </si>
  <si>
    <t xml:space="preserve">reSpeaker XVF3800 a €59,90 com IVA, dentro da UE (sem alfândega). Esgota com frequência — a página mostra a data de reposição (a 25/08/2026 dizia 28/08).</t>
  </si>
  <si>
    <t xml:space="preserve">Kiwi Electronics</t>
  </si>
  <si>
    <t xml:space="preserve">Holanda</t>
  </si>
  <si>
    <t xml:space="preserve">kiwi-electronics.com</t>
  </si>
  <si>
    <t xml:space="preserve">reSpeaker XVF3800 a €48,99 + IVA quando há stock (esgotada a 25/08/2026). Dentro da UE.</t>
  </si>
  <si>
    <t xml:space="preserve">ANTES DE ENCOMENDAR — checklist</t>
  </si>
  <si>
    <t xml:space="preserve">☐ Confirmar que o preço do Raspberry Pi não mudou (tem oscilado muito em 2026)</t>
  </si>
  <si>
    <t xml:space="preserve">☐ Confirmar STOCK de cada item — vários apareciam esgotados durante a pesquisa</t>
  </si>
  <si>
    <t xml:space="preserve">☐ Confirmar que o sensor ultrassónico é o modelo HC-SR04P (3,3 V) e não o normal</t>
  </si>
  <si>
    <t xml:space="preserve">☐ Confirmar que o cabo CSI adaptador 22→15 pinos está no carrinho</t>
  </si>
  <si>
    <t xml:space="preserve">☐ Somar os portes: às vezes compensa juntar tudo numa loja mais cara</t>
  </si>
  <si>
    <t xml:space="preserve">☐ Ver se o módulo vem com os headers já soldados (poupa trabalho e risco)</t>
  </si>
  <si>
    <t xml:space="preserve">☐ Confirmar que o reSpeaker XVF3800 está no carrinho da encomenda 1 — é a placa de som, não só os ouvidos</t>
  </si>
  <si>
    <t xml:space="preserve">IMPRESSORA 3D — INVESTIMENTO FUTURO</t>
  </si>
  <si>
    <t xml:space="preserve">NÃO entra no total do robô. Não é preciso para começar: o corpo faz-se em cartão até à fase 13.</t>
  </si>
  <si>
    <t xml:space="preserve">Fechada?</t>
  </si>
  <si>
    <t xml:space="preserve">Volume</t>
  </si>
  <si>
    <t xml:space="preserve">Bambu Lab P1S</t>
  </si>
  <si>
    <t xml:space="preserve">256 mm</t>
  </si>
  <si>
    <t xml:space="preserve">RECOMENDADA</t>
  </si>
  <si>
    <t xml:space="preserve">Fechada (barreira física contra um bico a 250C, com uma criança por perto), filtro de carvão ativado, e 256mm chega para a cúpula da cabeça em 2 metades. Ecossistema mais fácil do mercado para quem começa.</t>
  </si>
  <si>
    <t xml:space="preserve">Filamento inicial (PLA branco + azul + PETG)</t>
  </si>
  <si>
    <t xml:space="preserve">COMPRAR COM</t>
  </si>
  <si>
    <t xml:space="preserve">As cores do Astro. O PETG é para as peças que tocam no Pi e nos reguladores — o PLA amolece aos 60C.</t>
  </si>
  <si>
    <t xml:space="preserve">Bambu Lab A1</t>
  </si>
  <si>
    <t xml:space="preserve">ALTERNATIVA</t>
  </si>
  <si>
    <t xml:space="preserve">Excelente máquina e 120 euros mais barata, mas ABERTA. Com uma criança de 11 anos, esses 120 euros compram uma barreira à volta do bico quente e da mesa que se move.</t>
  </si>
  <si>
    <t xml:space="preserve">Bambu Lab A1 mini</t>
  </si>
  <si>
    <t xml:space="preserve">180 mm</t>
  </si>
  <si>
    <t xml:space="preserve">EVITAR</t>
  </si>
  <si>
    <t xml:space="preserve">⚠️ 180mm obriga a partir a cúpula da cabeça em 4-6 gomos, com muitas juntas a lixar e colar. Frustração garantida para uma criança.</t>
  </si>
  <si>
    <t xml:space="preserve">Elegoo Centauri Carbon 2 Combo</t>
  </si>
  <si>
    <t xml:space="preserve">ALTERNATIVA FORTE</t>
  </si>
  <si>
    <t xml:space="preserve">Fechada E já com multicor, pelo mesmo preço da P1S. A melhor relação preço/valor de 2026, se não fizerem questão do ecossistema Bambu.</t>
  </si>
  <si>
    <t xml:space="preserve">Bambu Lab P2S</t>
  </si>
  <si>
    <t xml:space="preserve">NÃO COMPENSA</t>
  </si>
  <si>
    <t xml:space="preserve">A P1S melhorada (out/2025): extrusor DynaSense, deteção de erros por IA. Melhor, mas não 140 euros melhor para este uso.</t>
  </si>
  <si>
    <t xml:space="preserve">Prusa MK4S</t>
  </si>
  <si>
    <t xml:space="preserve">Não</t>
  </si>
  <si>
    <t xml:space="preserve">250x210x220</t>
  </si>
  <si>
    <t xml:space="preserve">FORA DO ÂMBITO</t>
  </si>
  <si>
    <t xml:space="preserve">Fabricante europeu, open-source, peças e apoio na UE. Ótima máquina, mas o dobro do que este projeto precisa.</t>
  </si>
  <si>
    <t xml:space="preserve">AMS lite — impressão multicor</t>
  </si>
  <si>
    <t xml:space="preserve">⚠️ Parece óbvio para um robô branco e azul, mas não é: desperdiça ~8g de filamento POR TROCA DE COR (81% do filamento numa peça pequena com 8 trocas). As nossas peças são grandes e de UMA cor — troca-se o rolo à mão entre peças, 2 minutos. Só compensaria para várias cores DENTRO da mesma peça.</t>
  </si>
  <si>
    <t xml:space="preserve">Purificador de ar HEPA + carvão</t>
  </si>
  <si>
    <t xml:space="preserve">SE FOR EM CASA</t>
  </si>
  <si>
    <t xml:space="preserve">⚠️ Só se a impressora ficar numa divisão habitada. O filtro de carvão da P1S trata dos COVs mas NÃO É HEPA — não apanha as partículas ultrafinas. Melhor ainda: pôr a impressora na garagem ou num escritório com janela.</t>
  </si>
  <si>
    <t xml:space="preserve">PARA ARRANCAR (P1S + filamento)</t>
  </si>
  <si>
    <t xml:space="preserve">SEGURANÇA — as cinco regras</t>
  </si>
  <si>
    <t xml:space="preserve">Um relatório da UL Chemical Insights, feito em salas de aula, mediu mais de 200 COVs distintos em impressoras FDM, formaldeído acima do dobro do limite recomendado da Califórnia, e 3,4x10^8 partículas ultrafinas por hora mesmo com PLA. O relatório avisa explicitamente para crianças. Ou seja: o PLA é o mais seguro, mas não é seguro sem cuidados.</t>
  </si>
  <si>
    <t xml:space="preserve">1. Impressora FECHADA — barreira física contra queimaduras, contém a maior parte das partículas, e reduz muito o ruído.</t>
  </si>
  <si>
    <t xml:space="preserve">2. NÃO no quarto dela. Garagem, arrumos, ou escritório com janela.</t>
  </si>
  <si>
    <t xml:space="preserve">3. Só PLA e PETG. Nada de ABS ou ASA em casa sem extração para o exterior.</t>
  </si>
  <si>
    <t xml:space="preserve">4. A criança carrega o ficheiro e vê pela câmara; só abre a tampa depois de arrefecer.</t>
  </si>
  <si>
    <t xml:space="preserve">5. O filtro de carvão trata dos COVs mas NÃO É HEPA — não apanha partículas ultrafinas. Daí a regra 2.</t>
  </si>
  <si>
    <t xml:space="preserve">CUSTO CONTINUADO</t>
  </si>
  <si>
    <t xml:space="preserve">O robô inteiro consome 1,5-2,5 kg de filamento = 25-40 euros.</t>
  </si>
  <si>
    <t xml:space="preserve">Eletricidade: cerca de 2 cêntimos por hora. Desprezável — o filamento custa 5 a 50x mais.</t>
  </si>
  <si>
    <t xml:space="preserve">Desgaste (bicos 10-15 euros, placa 25-40, correias): orçamentar 40-60 euros por ano.</t>
  </si>
  <si>
    <t xml:space="preserve">⚠️ Uma metade de cúpula demora 8 a 20 HORAS a imprimir. Uma cabeça completa é um fim de semana. Dizer isto à Lara no primeiro dia — a expectativa errada aqui estraga a experiência toda.</t>
  </si>
  <si>
    <t xml:space="preserve">ANTES DE COMPRAR: o FabLab Porto (Rua António Carneiro 302-R, seg-sex 14h-20h) e o FabLab Lisboa deixam ver máquinas a trabalhar. Meia hora bem passada antes de gastar 400 euros.</t>
  </si>
  <si>
    <t xml:space="preserve">A BANCADA — FERRAMENTAS</t>
  </si>
  <si>
    <t xml:space="preserve">Ferramentas duram uma vida e servem para tudo o resto. Por isso estão FORA do total do robô, como a impressora 3D.</t>
  </si>
  <si>
    <t xml:space="preserve">Essencial?</t>
  </si>
  <si>
    <t xml:space="preserve">Porquê / o que escolher</t>
  </si>
  <si>
    <t xml:space="preserve">Estação de soldar com base pesada (936 / Yihua)</t>
  </si>
  <si>
    <t xml:space="preserve">SIM</t>
  </si>
  <si>
    <t xml:space="preserve">⚠️ COM UMA CRIANÇA POR PERTO, O SUPORTE PESADO IMPORTA MAIS QUE O FERRO. Uma estação de 30 euros com base estável é mais segura que um ferro portátil pousado na mesa. Ponto de retorno decrescente: ~40 euros. Um Hakko de 120 ou um JBC de 400 não ensinam melhor.</t>
  </si>
  <si>
    <t xml:space="preserve">Solda SEM CHUMBO 0,7 mm, 100 g</t>
  </si>
  <si>
    <t xml:space="preserve">⚠️ RECOMENDO SEM CHUMBO, e não a 60/40 clássica. Funde a 217C em vez de 183C e molha um pouco pior, mas apaga uma preocupação inteira numa casa com crianças. O manual de segurança da FIRST Robotics exige mesmo 'lead-free solder only'. Diâmetro 0,7 mm: 1 mm é grosso demais para pinos.</t>
  </si>
  <si>
    <t xml:space="preserve">Fluxo em caneta, no-clean</t>
  </si>
  <si>
    <t xml:space="preserve">Com solda sem chumbo o fluxo extra deixa de ser luxo. Uma caneta dura anos.</t>
  </si>
  <si>
    <t xml:space="preserve">Lã de latão para limpar a ponta</t>
  </si>
  <si>
    <t xml:space="preserve">Melhor que a esponja molhada: não arrefece a ponta de repente, o que a faz durar muito mais.</t>
  </si>
  <si>
    <t xml:space="preserve">Ponta chisel 2,4 mm de reserva</t>
  </si>
  <si>
    <t xml:space="preserve">⚠️ A ponta CHISEL é a certa para principiante — transfere muito mais calor que a de agulha, que é a pior escolha e a que toda a gente experimenta primeiro.</t>
  </si>
  <si>
    <t xml:space="preserve">Malha dessoldadora + bomba</t>
  </si>
  <si>
    <t xml:space="preserve">Para desfazer erros. Vão precisar nas primeiras vinte juntas.</t>
  </si>
  <si>
    <t xml:space="preserve">Terceira mão (helping hands)</t>
  </si>
  <si>
    <t xml:space="preserve">Duas mãos seguram o ferro e a solda; não sobra nenhuma para a placa.</t>
  </si>
  <si>
    <t xml:space="preserve">Alicate de corte flush + descarnador</t>
  </si>
  <si>
    <t xml:space="preserve">O descarnador é usado em todas as fases, mesmo sem soldar.</t>
  </si>
  <si>
    <t xml:space="preserve">Óculos de proteção (2 pares)</t>
  </si>
  <si>
    <t xml:space="preserve">⚠️ O risco ocular real NÃO é o fumo — é o terminal cortado a saltar. Dois pares: um para cada um.</t>
  </si>
  <si>
    <t xml:space="preserve">Kit de prática (Whadda WSI102 ou similar)</t>
  </si>
  <si>
    <t xml:space="preserve">⚠️ FAZER ~100 JUNTAS ANTES DE TOCAR NO PI DE 95 EUROS. 15 euros contra o risco de destruir 95: não há discussão. E é o sítio certo para a Lara experimentar — uma placa de treino não tem nada a perder.</t>
  </si>
  <si>
    <t xml:space="preserve">Multímetro (se não tiverem)</t>
  </si>
  <si>
    <t xml:space="preserve">Ferramenta central da fase 4 (descobrir a pinagem dos motores do mBot2) e da 5 (ajustar os reguladores). Precisa de continuidade e tensão DC.</t>
  </si>
  <si>
    <t xml:space="preserve">Ventoinha USB pequena</t>
  </si>
  <si>
    <t xml:space="preserve">RECOMENDADO</t>
  </si>
  <si>
    <t xml:space="preserve">Posta a PUXAR o ar para longe das caras. A seguir a 'não se debruçar sobre a junta', é o maior ganho de segurança por euro. Uma janela aberta e esta ventoinha valem mais que um extrator caro mal colocado.</t>
  </si>
  <si>
    <t xml:space="preserve">Extrator de fumos com filtro de carvão</t>
  </si>
  <si>
    <t xml:space="preserve">OPCIONAL</t>
  </si>
  <si>
    <t xml:space="preserve">Só funciona a 10-15 cm da junta. A HSE avisa que estas unidades 'do not capture all of the fume particles'. Janela + ventoinha primeiro; isto se soldarem muito.</t>
  </si>
  <si>
    <t xml:space="preserve">Estação de ar quente / microscópio / pasta de solda</t>
  </si>
  <si>
    <t xml:space="preserve">NAO COMPRAR</t>
  </si>
  <si>
    <t xml:space="preserve">⚠️ Nada disto é preciso para este projeto. São a tentação clássica de quem começa.</t>
  </si>
  <si>
    <t xml:space="preserve">TOTAL DA BANCADA (só os essenciais)</t>
  </si>
  <si>
    <t xml:space="preserve">SEGURANÇA — os factos, sem alarmismo</t>
  </si>
  <si>
    <t xml:space="preserve">O CHUMBO NÃO EVAPORA. Funde a 327C e ferve a 1749C; soldamos a 350C. A via de exposição real é MAO-BOCA, não o ar (Columbia University EHS: 'the primary route of exposure to lead from soldering is ingestion'). LAVAR AS MAOS COM SABAO a seguir resolve quase tudo. Mesmo assim, recomendo solda sem chumbo: apaga a questão inteira.</t>
  </si>
  <si>
    <t xml:space="preserve">O FUMO QUE SE VE E O FLUXO, NAO O METAL — e ESSE é o risco a sério. A HSE britânica classifica o fumo de colofónia como 'a common cause of occupational asthma', e a sensibilização é PERMANENTE: uma vez sensibilizado, doses mínimas desencadeiam crise.</t>
  </si>
  <si>
    <t xml:space="preserve">AS TRES MEDIDAS, POR ORDEM DE EFICACIA POR EURO:</t>
  </si>
  <si>
    <t xml:space="preserve">  1. NAO SE DEBRUCAR SOBRE A JUNTA. Custa zero e é o maior ganho isolado.</t>
  </si>
  <si>
    <t xml:space="preserve">  2. Janela aberta + ventoinha a PUXAR o ar para longe das caras (~12 euros).</t>
  </si>
  <si>
    <t xml:space="preserve">  3. Extrator com filtro de carvão, e só serve a 10-15 cm da junta (~30 euros).</t>
  </si>
  <si>
    <t xml:space="preserve">REGRAS DE CASA: ferro sempre no suporte · cabo longe da borda · cabelo apanhado e sem mangas largas · OCULOS DE PROTECAO (o risco é o terminal cortado a saltar, não o fumo) · nada de comer nem beber na bancada · lavar as mãos a seguir · limpar a bancada com pano HUMIDO, nunca varrer · nunca deixar o ferro ligado sem vigilância · queimadura: água fria corrente 20 minutos.</t>
  </si>
  <si>
    <t xml:space="preserve">QUANDO É QUE A LARA PODE SOLDAR? O manual de segurança da FIRST Robotics normaliza 10-13 anos com supervisão 1:1, e o FTC aceita a partir dos 12. O critério prático é melhor que a idade: ELA PODE SOLDAR QUANDO PUSER O FERRO NO SUPORTE DE FORMA FIAVEL ENTRE JUNTAS, sem ter de se lembrar. Testar isso no kit de prática, que não tem nada a perder.</t>
  </si>
  <si>
    <t xml:space="preserve">QUANTA SOLDADURA ESTE PROJETO PRECISA MESMO</t>
  </si>
  <si>
    <t xml:space="preserve">Com as escolhas certas na lista de compras, quase nenhuma:</t>
  </si>
  <si>
    <t xml:space="preserve">  JA VEM SOLDADO: reSpeaker XVF3800 (USB; a coluna encaixa numa ficha JST PH 2.0 — substituiu o amplificador I2S MAX98357A, que obrigava a soldar 5 fios) · PCA9685 (clones — o da Adafruit exigiria 48 juntas!) · TB6612FNG (versão SparkFun 'with Headers') · ADS1115 · HC-SR04P · VL53L1X · TCRT5000</t>
  </si>
  <si>
    <t xml:space="preserve">  SEM SOLDAR: o caminho de potência todo, com XT60 pigtails (vêm com fio de fábrica) e conectores WAGO 221</t>
  </si>
  <si>
    <t xml:space="preserve">  SO ISTO PRECISA: os três reguladores Pololu, que vêm com os pinos soltos. Cerca de 18 juntas no total.</t>
  </si>
  <si>
    <t xml:space="preserve">Dezoito juntas. É exatamente o trabalho certo para fazer DEPOIS do kit de prática: pouco, controlado, e com um resultado visível.</t>
  </si>
  <si>
    <t xml:space="preserve">OPINIAO HONESTA: aprendam a soldar. São umas 4 horas de prática e elimina a causa número um de robôs de hobby que 'às vezes funcionam' — contactos intermitentes. Mas usem as soluções sem soldar no caminho de POTENCIA, porque é aí que uma junta má deixa de ser uma chatice e passa a ser um perigo.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</si>
</sst>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name val="Arial"/>
      <family val="2"/>
    </font>
    <font>
      <b val="true"/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CE4E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40"/>
    <col collapsed="false" customWidth="true" hidden="false" outlineLevel="0" max="5" min="5" style="0" width="5"/>
    <col collapsed="false" customWidth="true" hidden="false" outlineLevel="0" max="7" min="6" style="0" width="11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5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9.5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5.05" hidden="false" customHeight="false" outlineLevel="0" collapsed="false">
      <c r="A5" s="4" t="s">
        <v>12</v>
      </c>
      <c r="B5" s="5" t="s">
        <v>13</v>
      </c>
      <c r="C5" s="6" t="s">
        <v>14</v>
      </c>
      <c r="D5" s="4" t="s">
        <v>15</v>
      </c>
      <c r="E5" s="5" t="n">
        <v>1</v>
      </c>
      <c r="F5" s="7" t="n">
        <v>95.9</v>
      </c>
      <c r="G5" s="8" t="n">
        <f aca="false">E5*F5</f>
        <v>95.9</v>
      </c>
      <c r="H5" s="4" t="s">
        <v>16</v>
      </c>
      <c r="I5" s="9" t="s">
        <v>17</v>
      </c>
      <c r="J5" s="4" t="s">
        <v>18</v>
      </c>
    </row>
    <row r="6" customFormat="false" ht="23.85" hidden="false" customHeight="false" outlineLevel="0" collapsed="false">
      <c r="A6" s="4" t="s">
        <v>12</v>
      </c>
      <c r="B6" s="5" t="s">
        <v>13</v>
      </c>
      <c r="C6" s="6" t="s">
        <v>19</v>
      </c>
      <c r="D6" s="4" t="s">
        <v>20</v>
      </c>
      <c r="E6" s="5" t="n">
        <v>1</v>
      </c>
      <c r="F6" s="7" t="n">
        <v>13.9</v>
      </c>
      <c r="G6" s="8" t="n">
        <f aca="false">E6*F6</f>
        <v>13.9</v>
      </c>
      <c r="H6" s="4" t="s">
        <v>16</v>
      </c>
      <c r="I6" s="9" t="s">
        <v>17</v>
      </c>
      <c r="J6" s="4" t="s">
        <v>21</v>
      </c>
    </row>
    <row r="7" customFormat="false" ht="15" hidden="false" customHeight="false" outlineLevel="0" collapsed="false">
      <c r="A7" s="4" t="s">
        <v>12</v>
      </c>
      <c r="B7" s="5" t="s">
        <v>13</v>
      </c>
      <c r="C7" s="6" t="s">
        <v>22</v>
      </c>
      <c r="D7" s="4" t="s">
        <v>23</v>
      </c>
      <c r="E7" s="5" t="n">
        <v>1</v>
      </c>
      <c r="F7" s="7" t="n">
        <v>14</v>
      </c>
      <c r="G7" s="8" t="n">
        <f aca="false">E7*F7</f>
        <v>14</v>
      </c>
      <c r="H7" s="4" t="s">
        <v>24</v>
      </c>
      <c r="I7" s="10" t="s">
        <v>25</v>
      </c>
      <c r="J7" s="4" t="s">
        <v>26</v>
      </c>
    </row>
    <row r="8" customFormat="false" ht="23.85" hidden="false" customHeight="false" outlineLevel="0" collapsed="false">
      <c r="A8" s="4" t="s">
        <v>12</v>
      </c>
      <c r="B8" s="5" t="s">
        <v>13</v>
      </c>
      <c r="C8" s="6" t="s">
        <v>27</v>
      </c>
      <c r="D8" s="4" t="s">
        <v>28</v>
      </c>
      <c r="E8" s="5" t="n">
        <v>1</v>
      </c>
      <c r="F8" s="7" t="n">
        <v>5.5</v>
      </c>
      <c r="G8" s="8" t="n">
        <f aca="false">E8*F8</f>
        <v>5.5</v>
      </c>
      <c r="H8" s="4" t="s">
        <v>16</v>
      </c>
      <c r="I8" s="10" t="s">
        <v>25</v>
      </c>
      <c r="J8" s="4" t="s">
        <v>29</v>
      </c>
    </row>
    <row r="9" customFormat="false" ht="23.85" hidden="false" customHeight="false" outlineLevel="0" collapsed="false">
      <c r="A9" s="4" t="s">
        <v>12</v>
      </c>
      <c r="B9" s="5" t="s">
        <v>13</v>
      </c>
      <c r="C9" s="6" t="s">
        <v>30</v>
      </c>
      <c r="D9" s="4" t="s">
        <v>31</v>
      </c>
      <c r="E9" s="5" t="n">
        <v>1</v>
      </c>
      <c r="F9" s="7" t="n">
        <v>17</v>
      </c>
      <c r="G9" s="8" t="n">
        <f aca="false">E9*F9</f>
        <v>17</v>
      </c>
      <c r="H9" s="4" t="s">
        <v>24</v>
      </c>
      <c r="I9" s="10" t="s">
        <v>25</v>
      </c>
      <c r="J9" s="4" t="s">
        <v>32</v>
      </c>
    </row>
    <row r="10" customFormat="false" ht="135.8" hidden="false" customHeight="false" outlineLevel="0" collapsed="false">
      <c r="A10" s="4" t="s">
        <v>12</v>
      </c>
      <c r="B10" s="5" t="s">
        <v>33</v>
      </c>
      <c r="C10" s="6" t="s">
        <v>34</v>
      </c>
      <c r="D10" s="4" t="s">
        <v>35</v>
      </c>
      <c r="E10" s="5" t="n">
        <v>1</v>
      </c>
      <c r="F10" s="7" t="n">
        <v>60</v>
      </c>
      <c r="G10" s="8" t="n">
        <f aca="false">E10*F10</f>
        <v>60</v>
      </c>
      <c r="H10" s="4" t="s">
        <v>36</v>
      </c>
      <c r="I10" s="10" t="s">
        <v>17</v>
      </c>
      <c r="J10" s="11" t="s">
        <v>37</v>
      </c>
    </row>
    <row r="11" customFormat="false" ht="57.45" hidden="false" customHeight="false" outlineLevel="0" collapsed="false">
      <c r="A11" s="4" t="s">
        <v>12</v>
      </c>
      <c r="B11" s="5" t="s">
        <v>33</v>
      </c>
      <c r="C11" s="6" t="s">
        <v>38</v>
      </c>
      <c r="D11" s="4" t="s">
        <v>39</v>
      </c>
      <c r="E11" s="5" t="n">
        <v>1</v>
      </c>
      <c r="F11" s="7" t="n">
        <v>4.95</v>
      </c>
      <c r="G11" s="8" t="n">
        <f aca="false">E11*F11</f>
        <v>4.95</v>
      </c>
      <c r="H11" s="4" t="s">
        <v>16</v>
      </c>
      <c r="I11" s="10" t="s">
        <v>17</v>
      </c>
      <c r="J11" s="4" t="s">
        <v>40</v>
      </c>
    </row>
    <row r="12" customFormat="false" ht="57.45" hidden="false" customHeight="false" outlineLevel="0" collapsed="false">
      <c r="A12" s="4" t="s">
        <v>12</v>
      </c>
      <c r="B12" s="5" t="s">
        <v>41</v>
      </c>
      <c r="C12" s="6" t="s">
        <v>42</v>
      </c>
      <c r="D12" s="4" t="s">
        <v>43</v>
      </c>
      <c r="E12" s="5" t="n">
        <v>1</v>
      </c>
      <c r="F12" s="7" t="n">
        <v>32.8</v>
      </c>
      <c r="G12" s="8" t="n">
        <f aca="false">E12*F12</f>
        <v>32.8</v>
      </c>
      <c r="H12" s="4" t="s">
        <v>16</v>
      </c>
      <c r="I12" s="9" t="s">
        <v>17</v>
      </c>
      <c r="J12" s="4" t="s">
        <v>44</v>
      </c>
    </row>
    <row r="13" customFormat="false" ht="46.25" hidden="false" customHeight="false" outlineLevel="0" collapsed="false">
      <c r="A13" s="4" t="s">
        <v>12</v>
      </c>
      <c r="B13" s="5" t="s">
        <v>41</v>
      </c>
      <c r="C13" s="6" t="s">
        <v>45</v>
      </c>
      <c r="D13" s="4" t="s">
        <v>46</v>
      </c>
      <c r="E13" s="5" t="n">
        <v>1</v>
      </c>
      <c r="F13" s="7" t="n">
        <v>1.2</v>
      </c>
      <c r="G13" s="8" t="n">
        <f aca="false">E13*F13</f>
        <v>1.2</v>
      </c>
      <c r="H13" s="4" t="s">
        <v>16</v>
      </c>
      <c r="I13" s="9" t="s">
        <v>17</v>
      </c>
      <c r="J13" s="11" t="s">
        <v>47</v>
      </c>
    </row>
    <row r="14" customFormat="false" ht="57.45" hidden="false" customHeight="false" outlineLevel="0" collapsed="false">
      <c r="A14" s="4" t="s">
        <v>48</v>
      </c>
      <c r="B14" s="5" t="s">
        <v>49</v>
      </c>
      <c r="C14" s="6" t="s">
        <v>50</v>
      </c>
      <c r="D14" s="4" t="s">
        <v>51</v>
      </c>
      <c r="E14" s="5" t="n">
        <v>1</v>
      </c>
      <c r="F14" s="7" t="n">
        <v>20</v>
      </c>
      <c r="G14" s="8" t="n">
        <f aca="false">E14*F14</f>
        <v>20</v>
      </c>
      <c r="H14" s="4" t="s">
        <v>52</v>
      </c>
      <c r="I14" s="9" t="s">
        <v>17</v>
      </c>
      <c r="J14" s="4" t="s">
        <v>53</v>
      </c>
    </row>
    <row r="15" customFormat="false" ht="35.05" hidden="false" customHeight="false" outlineLevel="0" collapsed="false">
      <c r="A15" s="4" t="s">
        <v>48</v>
      </c>
      <c r="B15" s="5" t="s">
        <v>49</v>
      </c>
      <c r="C15" s="6" t="s">
        <v>54</v>
      </c>
      <c r="D15" s="4" t="s">
        <v>55</v>
      </c>
      <c r="E15" s="5" t="n">
        <v>1</v>
      </c>
      <c r="F15" s="7" t="n">
        <v>12</v>
      </c>
      <c r="G15" s="8" t="n">
        <f aca="false">E15*F15</f>
        <v>12</v>
      </c>
      <c r="H15" s="4" t="s">
        <v>24</v>
      </c>
      <c r="I15" s="10" t="s">
        <v>25</v>
      </c>
      <c r="J15" s="4" t="s">
        <v>56</v>
      </c>
    </row>
    <row r="16" customFormat="false" ht="68.65" hidden="false" customHeight="false" outlineLevel="0" collapsed="false">
      <c r="A16" s="4" t="s">
        <v>48</v>
      </c>
      <c r="B16" s="5" t="s">
        <v>57</v>
      </c>
      <c r="C16" s="6" t="s">
        <v>58</v>
      </c>
      <c r="D16" s="4" t="s">
        <v>59</v>
      </c>
      <c r="E16" s="5" t="n">
        <v>1</v>
      </c>
      <c r="F16" s="7" t="n">
        <v>60</v>
      </c>
      <c r="G16" s="8" t="n">
        <f aca="false">E16*F16</f>
        <v>60</v>
      </c>
      <c r="H16" s="4" t="s">
        <v>60</v>
      </c>
      <c r="I16" s="10" t="s">
        <v>25</v>
      </c>
      <c r="J16" s="11" t="s">
        <v>61</v>
      </c>
    </row>
    <row r="17" customFormat="false" ht="23.85" hidden="false" customHeight="false" outlineLevel="0" collapsed="false">
      <c r="A17" s="4" t="s">
        <v>48</v>
      </c>
      <c r="B17" s="5" t="s">
        <v>57</v>
      </c>
      <c r="C17" s="6" t="s">
        <v>62</v>
      </c>
      <c r="D17" s="4" t="s">
        <v>63</v>
      </c>
      <c r="E17" s="5" t="n">
        <v>1</v>
      </c>
      <c r="F17" s="7" t="n">
        <v>22</v>
      </c>
      <c r="G17" s="8" t="n">
        <f aca="false">E17*F17</f>
        <v>22</v>
      </c>
      <c r="H17" s="4" t="s">
        <v>60</v>
      </c>
      <c r="I17" s="10" t="s">
        <v>25</v>
      </c>
      <c r="J17" s="4" t="s">
        <v>64</v>
      </c>
    </row>
    <row r="18" customFormat="false" ht="23.85" hidden="false" customHeight="false" outlineLevel="0" collapsed="false">
      <c r="A18" s="4" t="s">
        <v>48</v>
      </c>
      <c r="B18" s="5" t="s">
        <v>57</v>
      </c>
      <c r="C18" s="6" t="s">
        <v>65</v>
      </c>
      <c r="D18" s="4" t="s">
        <v>66</v>
      </c>
      <c r="E18" s="5" t="n">
        <v>1</v>
      </c>
      <c r="F18" s="7" t="n">
        <v>35</v>
      </c>
      <c r="G18" s="8" t="n">
        <f aca="false">E18*F18</f>
        <v>35</v>
      </c>
      <c r="H18" s="4" t="s">
        <v>67</v>
      </c>
      <c r="I18" s="9" t="s">
        <v>17</v>
      </c>
      <c r="J18" s="4" t="s">
        <v>68</v>
      </c>
    </row>
    <row r="19" customFormat="false" ht="57.45" hidden="false" customHeight="false" outlineLevel="0" collapsed="false">
      <c r="A19" s="4" t="s">
        <v>48</v>
      </c>
      <c r="B19" s="5" t="s">
        <v>57</v>
      </c>
      <c r="C19" s="6" t="s">
        <v>69</v>
      </c>
      <c r="D19" s="4" t="s">
        <v>70</v>
      </c>
      <c r="E19" s="5" t="n">
        <v>1</v>
      </c>
      <c r="F19" s="7" t="n">
        <v>42</v>
      </c>
      <c r="G19" s="8" t="n">
        <f aca="false">E19*F19</f>
        <v>42</v>
      </c>
      <c r="H19" s="4" t="s">
        <v>67</v>
      </c>
      <c r="I19" s="10" t="s">
        <v>25</v>
      </c>
      <c r="J19" s="11" t="s">
        <v>71</v>
      </c>
    </row>
    <row r="20" customFormat="false" ht="23.85" hidden="false" customHeight="false" outlineLevel="0" collapsed="false">
      <c r="A20" s="4" t="s">
        <v>48</v>
      </c>
      <c r="B20" s="5" t="s">
        <v>57</v>
      </c>
      <c r="C20" s="6" t="s">
        <v>72</v>
      </c>
      <c r="D20" s="4" t="s">
        <v>73</v>
      </c>
      <c r="E20" s="5" t="n">
        <v>1</v>
      </c>
      <c r="F20" s="7" t="n">
        <v>35</v>
      </c>
      <c r="G20" s="8" t="n">
        <f aca="false">E20*F20</f>
        <v>35</v>
      </c>
      <c r="H20" s="4" t="s">
        <v>67</v>
      </c>
      <c r="I20" s="10" t="s">
        <v>25</v>
      </c>
      <c r="J20" s="4" t="s">
        <v>74</v>
      </c>
    </row>
    <row r="21" customFormat="false" ht="57.45" hidden="false" customHeight="false" outlineLevel="0" collapsed="false">
      <c r="A21" s="4" t="s">
        <v>48</v>
      </c>
      <c r="B21" s="5" t="s">
        <v>57</v>
      </c>
      <c r="C21" s="6" t="s">
        <v>75</v>
      </c>
      <c r="D21" s="4" t="s">
        <v>76</v>
      </c>
      <c r="E21" s="5" t="n">
        <v>1</v>
      </c>
      <c r="F21" s="7" t="n">
        <v>24</v>
      </c>
      <c r="G21" s="8" t="n">
        <f aca="false">E21*F21</f>
        <v>24</v>
      </c>
      <c r="H21" s="4" t="s">
        <v>24</v>
      </c>
      <c r="I21" s="10" t="s">
        <v>25</v>
      </c>
      <c r="J21" s="4" t="s">
        <v>77</v>
      </c>
    </row>
    <row r="22" customFormat="false" ht="35.05" hidden="false" customHeight="false" outlineLevel="0" collapsed="false">
      <c r="A22" s="4" t="s">
        <v>48</v>
      </c>
      <c r="B22" s="5" t="s">
        <v>57</v>
      </c>
      <c r="C22" s="6" t="s">
        <v>78</v>
      </c>
      <c r="D22" s="4" t="s">
        <v>79</v>
      </c>
      <c r="E22" s="5" t="n">
        <v>1</v>
      </c>
      <c r="F22" s="7" t="n">
        <v>20</v>
      </c>
      <c r="G22" s="8" t="n">
        <f aca="false">E22*F22</f>
        <v>20</v>
      </c>
      <c r="H22" s="4" t="s">
        <v>24</v>
      </c>
      <c r="I22" s="10" t="s">
        <v>25</v>
      </c>
      <c r="J22" s="11" t="s">
        <v>80</v>
      </c>
    </row>
    <row r="23" customFormat="false" ht="57.45" hidden="false" customHeight="false" outlineLevel="0" collapsed="false">
      <c r="A23" s="4" t="s">
        <v>48</v>
      </c>
      <c r="B23" s="5" t="s">
        <v>57</v>
      </c>
      <c r="C23" s="6" t="s">
        <v>81</v>
      </c>
      <c r="D23" s="4" t="s">
        <v>82</v>
      </c>
      <c r="E23" s="5" t="n">
        <v>1</v>
      </c>
      <c r="F23" s="7" t="n">
        <v>12</v>
      </c>
      <c r="G23" s="8" t="n">
        <f aca="false">E23*F23</f>
        <v>12</v>
      </c>
      <c r="H23" s="4" t="s">
        <v>24</v>
      </c>
      <c r="I23" s="9" t="s">
        <v>17</v>
      </c>
      <c r="J23" s="11" t="s">
        <v>83</v>
      </c>
    </row>
    <row r="24" customFormat="false" ht="23.85" hidden="false" customHeight="false" outlineLevel="0" collapsed="false">
      <c r="A24" s="4" t="s">
        <v>48</v>
      </c>
      <c r="B24" s="5" t="s">
        <v>57</v>
      </c>
      <c r="C24" s="6" t="s">
        <v>84</v>
      </c>
      <c r="D24" s="4" t="s">
        <v>85</v>
      </c>
      <c r="E24" s="5" t="n">
        <v>1</v>
      </c>
      <c r="F24" s="7" t="n">
        <v>10</v>
      </c>
      <c r="G24" s="8" t="n">
        <f aca="false">E24*F24</f>
        <v>10</v>
      </c>
      <c r="H24" s="4" t="s">
        <v>24</v>
      </c>
      <c r="I24" s="10" t="s">
        <v>25</v>
      </c>
      <c r="J24" s="4" t="s">
        <v>86</v>
      </c>
    </row>
    <row r="25" customFormat="false" ht="23.85" hidden="false" customHeight="false" outlineLevel="0" collapsed="false">
      <c r="A25" s="4" t="s">
        <v>48</v>
      </c>
      <c r="B25" s="5" t="s">
        <v>57</v>
      </c>
      <c r="C25" s="6" t="s">
        <v>87</v>
      </c>
      <c r="D25" s="4" t="s">
        <v>88</v>
      </c>
      <c r="E25" s="5" t="n">
        <v>1</v>
      </c>
      <c r="F25" s="7" t="n">
        <v>8</v>
      </c>
      <c r="G25" s="8" t="n">
        <f aca="false">E25*F25</f>
        <v>8</v>
      </c>
      <c r="H25" s="4" t="s">
        <v>24</v>
      </c>
      <c r="I25" s="10" t="s">
        <v>25</v>
      </c>
      <c r="J25" s="4" t="s">
        <v>89</v>
      </c>
    </row>
    <row r="26" customFormat="false" ht="68.65" hidden="false" customHeight="false" outlineLevel="0" collapsed="false">
      <c r="A26" s="4" t="s">
        <v>90</v>
      </c>
      <c r="B26" s="5" t="s">
        <v>91</v>
      </c>
      <c r="C26" s="6" t="s">
        <v>92</v>
      </c>
      <c r="D26" s="4" t="s">
        <v>93</v>
      </c>
      <c r="E26" s="5" t="n">
        <v>2</v>
      </c>
      <c r="F26" s="7" t="n">
        <v>8</v>
      </c>
      <c r="G26" s="8" t="n">
        <f aca="false">E26*F26</f>
        <v>16</v>
      </c>
      <c r="H26" s="4" t="s">
        <v>94</v>
      </c>
      <c r="I26" s="9" t="s">
        <v>17</v>
      </c>
      <c r="J26" s="11" t="s">
        <v>95</v>
      </c>
    </row>
    <row r="27" customFormat="false" ht="35.05" hidden="false" customHeight="false" outlineLevel="0" collapsed="false">
      <c r="A27" s="4" t="s">
        <v>90</v>
      </c>
      <c r="B27" s="5" t="s">
        <v>91</v>
      </c>
      <c r="C27" s="6" t="s">
        <v>96</v>
      </c>
      <c r="D27" s="4" t="s">
        <v>97</v>
      </c>
      <c r="E27" s="5" t="n">
        <v>1</v>
      </c>
      <c r="F27" s="7" t="n">
        <v>14</v>
      </c>
      <c r="G27" s="8" t="n">
        <f aca="false">E27*F27</f>
        <v>14</v>
      </c>
      <c r="H27" s="4" t="s">
        <v>98</v>
      </c>
      <c r="I27" s="9" t="s">
        <v>17</v>
      </c>
      <c r="J27" s="11" t="s">
        <v>99</v>
      </c>
    </row>
    <row r="28" customFormat="false" ht="23.85" hidden="false" customHeight="false" outlineLevel="0" collapsed="false">
      <c r="A28" s="4" t="s">
        <v>90</v>
      </c>
      <c r="B28" s="5" t="s">
        <v>100</v>
      </c>
      <c r="C28" s="6" t="s">
        <v>101</v>
      </c>
      <c r="D28" s="4" t="s">
        <v>102</v>
      </c>
      <c r="E28" s="5" t="n">
        <v>1</v>
      </c>
      <c r="F28" s="7" t="n">
        <v>4.9</v>
      </c>
      <c r="G28" s="8" t="n">
        <f aca="false">E28*F28</f>
        <v>4.9</v>
      </c>
      <c r="H28" s="4" t="s">
        <v>16</v>
      </c>
      <c r="I28" s="9" t="s">
        <v>17</v>
      </c>
      <c r="J28" s="11" t="s">
        <v>103</v>
      </c>
    </row>
    <row r="29" customFormat="false" ht="23.85" hidden="false" customHeight="false" outlineLevel="0" collapsed="false">
      <c r="A29" s="4" t="s">
        <v>90</v>
      </c>
      <c r="B29" s="5" t="s">
        <v>100</v>
      </c>
      <c r="C29" s="6" t="s">
        <v>104</v>
      </c>
      <c r="D29" s="4" t="s">
        <v>105</v>
      </c>
      <c r="E29" s="5" t="n">
        <v>1</v>
      </c>
      <c r="F29" s="7" t="n">
        <v>16.95</v>
      </c>
      <c r="G29" s="8" t="n">
        <f aca="false">E29*F29</f>
        <v>16.95</v>
      </c>
      <c r="H29" s="4" t="s">
        <v>16</v>
      </c>
      <c r="I29" s="9" t="s">
        <v>17</v>
      </c>
      <c r="J29" s="4" t="s">
        <v>106</v>
      </c>
    </row>
    <row r="30" customFormat="false" ht="23.85" hidden="false" customHeight="false" outlineLevel="0" collapsed="false">
      <c r="A30" s="4" t="s">
        <v>90</v>
      </c>
      <c r="B30" s="5" t="s">
        <v>100</v>
      </c>
      <c r="C30" s="6" t="s">
        <v>107</v>
      </c>
      <c r="D30" s="4" t="s">
        <v>108</v>
      </c>
      <c r="E30" s="5" t="n">
        <v>1</v>
      </c>
      <c r="F30" s="7" t="n">
        <v>7.95</v>
      </c>
      <c r="G30" s="8" t="n">
        <f aca="false">E30*F30</f>
        <v>7.95</v>
      </c>
      <c r="H30" s="4" t="s">
        <v>16</v>
      </c>
      <c r="I30" s="9" t="s">
        <v>17</v>
      </c>
      <c r="J30" s="4" t="s">
        <v>109</v>
      </c>
    </row>
    <row r="31" customFormat="false" ht="46.25" hidden="false" customHeight="false" outlineLevel="0" collapsed="false">
      <c r="A31" s="4" t="s">
        <v>90</v>
      </c>
      <c r="B31" s="5" t="s">
        <v>100</v>
      </c>
      <c r="C31" s="6" t="s">
        <v>110</v>
      </c>
      <c r="D31" s="4" t="s">
        <v>111</v>
      </c>
      <c r="E31" s="5" t="n">
        <v>1</v>
      </c>
      <c r="F31" s="7" t="n">
        <v>8</v>
      </c>
      <c r="G31" s="8" t="n">
        <f aca="false">E31*F31</f>
        <v>8</v>
      </c>
      <c r="H31" s="4" t="s">
        <v>94</v>
      </c>
      <c r="I31" s="10" t="s">
        <v>25</v>
      </c>
      <c r="J31" s="11" t="s">
        <v>112</v>
      </c>
    </row>
    <row r="32" customFormat="false" ht="35.05" hidden="false" customHeight="false" outlineLevel="0" collapsed="false">
      <c r="A32" s="4" t="s">
        <v>90</v>
      </c>
      <c r="B32" s="5" t="s">
        <v>113</v>
      </c>
      <c r="C32" s="6" t="s">
        <v>114</v>
      </c>
      <c r="D32" s="4" t="s">
        <v>115</v>
      </c>
      <c r="E32" s="5" t="n">
        <v>2</v>
      </c>
      <c r="F32" s="7" t="n">
        <v>18</v>
      </c>
      <c r="G32" s="8" t="n">
        <f aca="false">E32*F32</f>
        <v>36</v>
      </c>
      <c r="H32" s="4" t="s">
        <v>24</v>
      </c>
      <c r="I32" s="10" t="s">
        <v>25</v>
      </c>
      <c r="J32" s="4" t="s">
        <v>116</v>
      </c>
    </row>
    <row r="33" customFormat="false" ht="23.85" hidden="false" customHeight="false" outlineLevel="0" collapsed="false">
      <c r="A33" s="4" t="s">
        <v>90</v>
      </c>
      <c r="B33" s="5" t="s">
        <v>113</v>
      </c>
      <c r="C33" s="6" t="s">
        <v>117</v>
      </c>
      <c r="D33" s="4" t="s">
        <v>118</v>
      </c>
      <c r="E33" s="5" t="n">
        <v>3</v>
      </c>
      <c r="F33" s="7" t="n">
        <v>6</v>
      </c>
      <c r="G33" s="8" t="n">
        <f aca="false">E33*F33</f>
        <v>18</v>
      </c>
      <c r="H33" s="4" t="s">
        <v>24</v>
      </c>
      <c r="I33" s="9" t="s">
        <v>17</v>
      </c>
      <c r="J33" s="11" t="s">
        <v>119</v>
      </c>
    </row>
    <row r="34" customFormat="false" ht="23.85" hidden="false" customHeight="false" outlineLevel="0" collapsed="false">
      <c r="A34" s="4" t="s">
        <v>90</v>
      </c>
      <c r="B34" s="5" t="s">
        <v>113</v>
      </c>
      <c r="C34" s="6" t="s">
        <v>120</v>
      </c>
      <c r="D34" s="4" t="s">
        <v>121</v>
      </c>
      <c r="E34" s="5" t="n">
        <v>1</v>
      </c>
      <c r="F34" s="7" t="n">
        <v>15</v>
      </c>
      <c r="G34" s="8" t="n">
        <f aca="false">E34*F34</f>
        <v>15</v>
      </c>
      <c r="H34" s="4" t="s">
        <v>24</v>
      </c>
      <c r="I34" s="10" t="s">
        <v>25</v>
      </c>
      <c r="J34" s="4" t="s">
        <v>122</v>
      </c>
    </row>
    <row r="35" customFormat="false" ht="68.65" hidden="false" customHeight="false" outlineLevel="0" collapsed="false">
      <c r="A35" s="4" t="s">
        <v>123</v>
      </c>
      <c r="B35" s="5" t="s">
        <v>124</v>
      </c>
      <c r="C35" s="6" t="s">
        <v>125</v>
      </c>
      <c r="D35" s="4" t="s">
        <v>126</v>
      </c>
      <c r="E35" s="5" t="n">
        <v>1</v>
      </c>
      <c r="F35" s="7" t="n">
        <v>14</v>
      </c>
      <c r="G35" s="8" t="n">
        <f aca="false">E35*F35</f>
        <v>14</v>
      </c>
      <c r="H35" s="4" t="s">
        <v>127</v>
      </c>
      <c r="I35" s="9" t="s">
        <v>17</v>
      </c>
      <c r="J35" s="11" t="s">
        <v>128</v>
      </c>
    </row>
    <row r="36" customFormat="false" ht="46.25" hidden="false" customHeight="false" outlineLevel="0" collapsed="false">
      <c r="A36" s="4" t="s">
        <v>123</v>
      </c>
      <c r="B36" s="5" t="s">
        <v>124</v>
      </c>
      <c r="C36" s="6" t="s">
        <v>129</v>
      </c>
      <c r="D36" s="4" t="s">
        <v>130</v>
      </c>
      <c r="E36" s="5" t="n">
        <v>1</v>
      </c>
      <c r="F36" s="7" t="n">
        <v>6</v>
      </c>
      <c r="G36" s="8" t="n">
        <f aca="false">E36*F36</f>
        <v>6</v>
      </c>
      <c r="H36" s="4" t="s">
        <v>24</v>
      </c>
      <c r="I36" s="10" t="s">
        <v>25</v>
      </c>
      <c r="J36" s="11" t="s">
        <v>131</v>
      </c>
    </row>
    <row r="37" customFormat="false" ht="23.85" hidden="false" customHeight="false" outlineLevel="0" collapsed="false">
      <c r="A37" s="4" t="s">
        <v>123</v>
      </c>
      <c r="B37" s="5" t="s">
        <v>124</v>
      </c>
      <c r="C37" s="6" t="s">
        <v>132</v>
      </c>
      <c r="D37" s="4" t="s">
        <v>133</v>
      </c>
      <c r="E37" s="5" t="n">
        <v>1</v>
      </c>
      <c r="F37" s="7" t="n">
        <v>9</v>
      </c>
      <c r="G37" s="8" t="n">
        <f aca="false">E37*F37</f>
        <v>9</v>
      </c>
      <c r="H37" s="4" t="s">
        <v>134</v>
      </c>
      <c r="I37" s="10" t="s">
        <v>25</v>
      </c>
      <c r="J37" s="4" t="s">
        <v>135</v>
      </c>
    </row>
    <row r="38" customFormat="false" ht="35.05" hidden="false" customHeight="false" outlineLevel="0" collapsed="false">
      <c r="A38" s="4" t="s">
        <v>123</v>
      </c>
      <c r="B38" s="5" t="s">
        <v>124</v>
      </c>
      <c r="C38" s="6" t="s">
        <v>136</v>
      </c>
      <c r="D38" s="4" t="s">
        <v>137</v>
      </c>
      <c r="E38" s="5" t="n">
        <v>1</v>
      </c>
      <c r="F38" s="7" t="n">
        <v>45</v>
      </c>
      <c r="G38" s="8" t="n">
        <f aca="false">E38*F38</f>
        <v>45</v>
      </c>
      <c r="H38" s="4" t="s">
        <v>138</v>
      </c>
      <c r="I38" s="9" t="s">
        <v>17</v>
      </c>
      <c r="J38" s="11" t="s">
        <v>139</v>
      </c>
    </row>
    <row r="39" customFormat="false" ht="23.85" hidden="false" customHeight="false" outlineLevel="0" collapsed="false">
      <c r="A39" s="4" t="s">
        <v>123</v>
      </c>
      <c r="B39" s="5" t="s">
        <v>124</v>
      </c>
      <c r="C39" s="6" t="s">
        <v>140</v>
      </c>
      <c r="D39" s="4" t="s">
        <v>141</v>
      </c>
      <c r="E39" s="5" t="n">
        <v>1</v>
      </c>
      <c r="F39" s="7" t="n">
        <v>35</v>
      </c>
      <c r="G39" s="8" t="n">
        <f aca="false">E39*F39</f>
        <v>35</v>
      </c>
      <c r="H39" s="4" t="s">
        <v>134</v>
      </c>
      <c r="I39" s="10" t="s">
        <v>25</v>
      </c>
      <c r="J39" s="4" t="s">
        <v>142</v>
      </c>
    </row>
    <row r="40" customFormat="false" ht="23.85" hidden="false" customHeight="false" outlineLevel="0" collapsed="false">
      <c r="A40" s="4" t="s">
        <v>123</v>
      </c>
      <c r="B40" s="5" t="s">
        <v>124</v>
      </c>
      <c r="C40" s="6" t="s">
        <v>143</v>
      </c>
      <c r="D40" s="4" t="s">
        <v>144</v>
      </c>
      <c r="E40" s="5" t="n">
        <v>1</v>
      </c>
      <c r="F40" s="7" t="n">
        <v>20</v>
      </c>
      <c r="G40" s="8" t="n">
        <f aca="false">E40*F40</f>
        <v>20</v>
      </c>
      <c r="H40" s="4" t="s">
        <v>24</v>
      </c>
      <c r="I40" s="10" t="s">
        <v>25</v>
      </c>
      <c r="J40" s="4" t="s">
        <v>145</v>
      </c>
    </row>
    <row r="41" customFormat="false" ht="35.05" hidden="false" customHeight="false" outlineLevel="0" collapsed="false">
      <c r="A41" s="4" t="s">
        <v>123</v>
      </c>
      <c r="B41" s="5" t="s">
        <v>124</v>
      </c>
      <c r="C41" s="6" t="s">
        <v>146</v>
      </c>
      <c r="D41" s="4" t="s">
        <v>147</v>
      </c>
      <c r="E41" s="5" t="n">
        <v>1</v>
      </c>
      <c r="F41" s="7" t="n">
        <v>40</v>
      </c>
      <c r="G41" s="8" t="n">
        <f aca="false">E41*F41</f>
        <v>40</v>
      </c>
      <c r="H41" s="4" t="s">
        <v>148</v>
      </c>
      <c r="I41" s="10" t="s">
        <v>25</v>
      </c>
      <c r="J41" s="4" t="s">
        <v>149</v>
      </c>
    </row>
    <row r="42" customFormat="false" ht="68.65" hidden="false" customHeight="false" outlineLevel="0" collapsed="false">
      <c r="A42" s="4" t="s">
        <v>90</v>
      </c>
      <c r="B42" s="5" t="s">
        <v>150</v>
      </c>
      <c r="C42" s="6" t="s">
        <v>151</v>
      </c>
      <c r="D42" s="4" t="s">
        <v>152</v>
      </c>
      <c r="E42" s="5" t="n">
        <v>3</v>
      </c>
      <c r="F42" s="7" t="n">
        <v>2</v>
      </c>
      <c r="G42" s="8" t="n">
        <f aca="false">E42*F42</f>
        <v>6</v>
      </c>
      <c r="H42" s="4" t="s">
        <v>153</v>
      </c>
      <c r="I42" s="10" t="s">
        <v>25</v>
      </c>
      <c r="J42" s="4" t="s">
        <v>154</v>
      </c>
    </row>
    <row r="43" customFormat="false" ht="23.85" hidden="false" customHeight="false" outlineLevel="0" collapsed="false">
      <c r="A43" s="4" t="s">
        <v>155</v>
      </c>
      <c r="B43" s="5" t="s">
        <v>156</v>
      </c>
      <c r="C43" s="6" t="s">
        <v>157</v>
      </c>
      <c r="D43" s="4" t="s">
        <v>158</v>
      </c>
      <c r="E43" s="5" t="n">
        <v>1</v>
      </c>
      <c r="F43" s="7" t="n">
        <v>25</v>
      </c>
      <c r="G43" s="8" t="n">
        <f aca="false">E43*F43</f>
        <v>25</v>
      </c>
      <c r="H43" s="4" t="s">
        <v>24</v>
      </c>
      <c r="I43" s="10" t="s">
        <v>25</v>
      </c>
      <c r="J43" s="4" t="s">
        <v>159</v>
      </c>
    </row>
    <row r="45" customFormat="false" ht="15" hidden="false" customHeight="false" outlineLevel="0" collapsed="false">
      <c r="C45" s="12" t="s">
        <v>160</v>
      </c>
      <c r="G45" s="13" t="n">
        <f aca="false">SUM(G5:G43)</f>
        <v>882.05</v>
      </c>
      <c r="H45" s="14" t="s">
        <v>161</v>
      </c>
    </row>
  </sheetData>
  <autoFilter ref="A4:J43"/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1" t="s">
        <v>162</v>
      </c>
      <c r="B1" s="1"/>
      <c r="C1" s="1"/>
      <c r="D1" s="1"/>
    </row>
    <row r="3" customFormat="false" ht="15" hidden="false" customHeight="false" outlineLevel="0" collapsed="false">
      <c r="A3" s="3" t="s">
        <v>2</v>
      </c>
      <c r="B3" s="3" t="s">
        <v>163</v>
      </c>
      <c r="C3" s="3" t="s">
        <v>164</v>
      </c>
      <c r="D3" s="3" t="s">
        <v>165</v>
      </c>
    </row>
    <row r="4" customFormat="false" ht="15" hidden="false" customHeight="false" outlineLevel="0" collapsed="false">
      <c r="A4" s="15" t="s">
        <v>12</v>
      </c>
      <c r="B4" s="16" t="s">
        <v>166</v>
      </c>
      <c r="C4" s="16" t="n">
        <f aca="false">COUNTIF(Compras!$A$5:$A$44,A4)</f>
        <v>9</v>
      </c>
      <c r="D4" s="17" t="n">
        <f aca="false">SUMIF(Compras!$A$5:$A$44,A4,Compras!$G$5:$G$44)</f>
        <v>245.25</v>
      </c>
    </row>
    <row r="5" customFormat="false" ht="15" hidden="false" customHeight="false" outlineLevel="0" collapsed="false">
      <c r="A5" s="15" t="s">
        <v>48</v>
      </c>
      <c r="B5" s="16" t="s">
        <v>167</v>
      </c>
      <c r="C5" s="16" t="n">
        <f aca="false">COUNTIF(Compras!$A$5:$A$44,A5)</f>
        <v>12</v>
      </c>
      <c r="D5" s="17" t="n">
        <f aca="false">SUMIF(Compras!$A$5:$A$44,A5,Compras!$G$5:$G$44)</f>
        <v>300</v>
      </c>
    </row>
    <row r="6" customFormat="false" ht="15" hidden="false" customHeight="false" outlineLevel="0" collapsed="false">
      <c r="A6" s="15" t="s">
        <v>90</v>
      </c>
      <c r="B6" s="16" t="s">
        <v>168</v>
      </c>
      <c r="C6" s="16" t="n">
        <f aca="false">COUNTIF(Compras!$A$5:$A$44,A6)</f>
        <v>10</v>
      </c>
      <c r="D6" s="17" t="n">
        <f aca="false">SUMIF(Compras!$A$5:$A$44,A6,Compras!$G$5:$G$44)</f>
        <v>142.8</v>
      </c>
    </row>
    <row r="7" customFormat="false" ht="15" hidden="false" customHeight="false" outlineLevel="0" collapsed="false">
      <c r="A7" s="15" t="s">
        <v>123</v>
      </c>
      <c r="B7" s="16" t="s">
        <v>169</v>
      </c>
      <c r="C7" s="16" t="n">
        <f aca="false">COUNTIF(Compras!$A$5:$A$44,A7)</f>
        <v>7</v>
      </c>
      <c r="D7" s="17" t="n">
        <f aca="false">SUMIF(Compras!$A$5:$A$44,A7,Compras!$G$5:$G$44)</f>
        <v>169</v>
      </c>
    </row>
    <row r="8" customFormat="false" ht="15" hidden="false" customHeight="false" outlineLevel="0" collapsed="false">
      <c r="A8" s="15" t="s">
        <v>155</v>
      </c>
      <c r="B8" s="16" t="s">
        <v>170</v>
      </c>
      <c r="C8" s="16" t="n">
        <f aca="false">COUNTIF(Compras!$A$5:$A$44,A8)</f>
        <v>1</v>
      </c>
      <c r="D8" s="17" t="n">
        <f aca="false">SUMIF(Compras!$A$5:$A$44,A8,Compras!$G$5:$G$44)</f>
        <v>25</v>
      </c>
    </row>
    <row r="9" customFormat="false" ht="15" hidden="false" customHeight="false" outlineLevel="0" collapsed="false">
      <c r="A9" s="18" t="s">
        <v>171</v>
      </c>
      <c r="B9" s="19"/>
      <c r="C9" s="19"/>
      <c r="D9" s="13" t="n">
        <f aca="false">SUM(D4:D8)</f>
        <v>882.05</v>
      </c>
    </row>
    <row r="11" customFormat="false" ht="15" hidden="false" customHeight="false" outlineLevel="0" collapsed="false">
      <c r="A11" s="20" t="s">
        <v>172</v>
      </c>
      <c r="D11" s="21" t="n">
        <v>400</v>
      </c>
    </row>
    <row r="12" customFormat="false" ht="15" hidden="false" customHeight="false" outlineLevel="0" collapsed="false">
      <c r="A12" s="20" t="s">
        <v>173</v>
      </c>
      <c r="D12" s="21" t="n">
        <v>1000</v>
      </c>
    </row>
    <row r="13" customFormat="false" ht="15" hidden="false" customHeight="false" outlineLevel="0" collapsed="false">
      <c r="A13" s="22" t="s">
        <v>174</v>
      </c>
      <c r="D13" s="23" t="n">
        <f aca="false">D12-D9</f>
        <v>117.95</v>
      </c>
    </row>
    <row r="14" customFormat="false" ht="15" hidden="false" customHeight="false" outlineLevel="0" collapsed="false">
      <c r="A14" s="22" t="s">
        <v>175</v>
      </c>
      <c r="D14" s="24" t="str">
        <f aca="false">IF(D9&lt;=D12,"SIM","NÃO — rever")</f>
        <v>SIM</v>
      </c>
    </row>
    <row r="17" customFormat="false" ht="15" hidden="false" customHeight="false" outlineLevel="0" collapsed="false">
      <c r="A17" s="25" t="s">
        <v>176</v>
      </c>
    </row>
    <row r="18" customFormat="false" ht="15" hidden="false" customHeight="false" outlineLevel="0" collapsed="false">
      <c r="A18" s="26" t="s">
        <v>177</v>
      </c>
      <c r="B18" s="26"/>
      <c r="C18" s="26"/>
      <c r="D18" s="26"/>
    </row>
    <row r="19" customFormat="false" ht="15" hidden="false" customHeight="false" outlineLevel="0" collapsed="false">
      <c r="A19" s="26" t="s">
        <v>178</v>
      </c>
      <c r="B19" s="26"/>
      <c r="C19" s="26"/>
      <c r="D19" s="26"/>
    </row>
    <row r="20" customFormat="false" ht="15" hidden="false" customHeight="false" outlineLevel="0" collapsed="false">
      <c r="A20" s="26" t="s">
        <v>179</v>
      </c>
      <c r="B20" s="26"/>
      <c r="C20" s="26"/>
      <c r="D20" s="26"/>
    </row>
    <row r="21" customFormat="false" ht="15" hidden="false" customHeight="false" outlineLevel="0" collapsed="false">
      <c r="A21" s="26" t="s">
        <v>180</v>
      </c>
      <c r="B21" s="26"/>
      <c r="C21" s="26"/>
      <c r="D21" s="26"/>
    </row>
    <row r="22" customFormat="false" ht="15" hidden="false" customHeight="false" outlineLevel="0" collapsed="false">
      <c r="A22" s="26" t="s">
        <v>181</v>
      </c>
      <c r="B22" s="26"/>
      <c r="C22" s="26"/>
      <c r="D22" s="26"/>
    </row>
    <row r="23" customFormat="false" ht="15" hidden="false" customHeight="false" outlineLevel="0" collapsed="false">
      <c r="A23" s="26" t="s">
        <v>182</v>
      </c>
      <c r="B23" s="26"/>
      <c r="C23" s="26"/>
      <c r="D23" s="26"/>
    </row>
    <row r="24" customFormat="false" ht="15" hidden="false" customHeight="false" outlineLevel="0" collapsed="false">
      <c r="A24" s="26" t="s">
        <v>183</v>
      </c>
      <c r="B24" s="26"/>
      <c r="C24" s="26"/>
      <c r="D24" s="26"/>
    </row>
  </sheetData>
  <mergeCells count="8">
    <mergeCell ref="A1:D1"/>
    <mergeCell ref="A18:D18"/>
    <mergeCell ref="A19:D19"/>
    <mergeCell ref="A20:D20"/>
    <mergeCell ref="A21:D21"/>
    <mergeCell ref="A22:D22"/>
    <mergeCell ref="A23:D2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4" min="3" style="0" width="20"/>
    <col collapsed="false" customWidth="true" hidden="false" outlineLevel="0" max="5" min="5" style="0" width="82"/>
  </cols>
  <sheetData>
    <row r="1" customFormat="false" ht="17.35" hidden="false" customHeight="false" outlineLevel="0" collapsed="false">
      <c r="A1" s="1" t="s">
        <v>184</v>
      </c>
      <c r="B1" s="1"/>
      <c r="C1" s="1"/>
      <c r="D1" s="1"/>
      <c r="E1" s="1"/>
    </row>
    <row r="3" customFormat="false" ht="15" hidden="false" customHeight="false" outlineLevel="0" collapsed="false">
      <c r="A3" s="27" t="s">
        <v>185</v>
      </c>
      <c r="B3" s="27" t="s">
        <v>186</v>
      </c>
      <c r="C3" s="27" t="s">
        <v>187</v>
      </c>
      <c r="D3" s="27" t="s">
        <v>188</v>
      </c>
      <c r="E3" s="27" t="s">
        <v>189</v>
      </c>
    </row>
    <row r="4" customFormat="false" ht="46.25" hidden="false" customHeight="false" outlineLevel="0" collapsed="false">
      <c r="A4" s="15" t="s">
        <v>190</v>
      </c>
      <c r="B4" s="28"/>
      <c r="C4" s="16" t="s">
        <v>191</v>
      </c>
      <c r="D4" s="29" t="s">
        <v>192</v>
      </c>
      <c r="E4" s="30" t="s">
        <v>193</v>
      </c>
    </row>
    <row r="5" customFormat="false" ht="35.05" hidden="false" customHeight="false" outlineLevel="0" collapsed="false">
      <c r="A5" s="15" t="s">
        <v>194</v>
      </c>
      <c r="B5" s="28"/>
      <c r="C5" s="16" t="s">
        <v>195</v>
      </c>
      <c r="D5" s="29" t="s">
        <v>196</v>
      </c>
      <c r="E5" s="30" t="s">
        <v>197</v>
      </c>
    </row>
    <row r="6" customFormat="false" ht="15" hidden="false" customHeight="false" outlineLevel="0" collapsed="false">
      <c r="A6" s="15" t="s">
        <v>198</v>
      </c>
      <c r="B6" s="28" t="n">
        <v>189</v>
      </c>
      <c r="C6" s="16" t="s">
        <v>195</v>
      </c>
      <c r="D6" s="31" t="s">
        <v>199</v>
      </c>
      <c r="E6" s="30" t="s">
        <v>200</v>
      </c>
    </row>
    <row r="7" customFormat="false" ht="23.85" hidden="false" customHeight="false" outlineLevel="0" collapsed="false">
      <c r="A7" s="15" t="s">
        <v>201</v>
      </c>
      <c r="B7" s="28" t="n">
        <v>68.9</v>
      </c>
      <c r="C7" s="16" t="s">
        <v>202</v>
      </c>
      <c r="D7" s="32" t="s">
        <v>203</v>
      </c>
      <c r="E7" s="30" t="s">
        <v>204</v>
      </c>
    </row>
    <row r="8" customFormat="false" ht="57.45" hidden="false" customHeight="false" outlineLevel="0" collapsed="false">
      <c r="A8" s="15" t="s">
        <v>205</v>
      </c>
      <c r="B8" s="28" t="n">
        <v>16.95</v>
      </c>
      <c r="C8" s="16" t="s">
        <v>206</v>
      </c>
      <c r="D8" s="29" t="s">
        <v>207</v>
      </c>
      <c r="E8" s="30" t="s">
        <v>208</v>
      </c>
    </row>
    <row r="9" customFormat="false" ht="57.45" hidden="false" customHeight="false" outlineLevel="0" collapsed="false">
      <c r="A9" s="15" t="s">
        <v>209</v>
      </c>
      <c r="B9" s="28" t="n">
        <v>129.99</v>
      </c>
      <c r="C9" s="16" t="s">
        <v>210</v>
      </c>
      <c r="D9" s="31" t="s">
        <v>199</v>
      </c>
      <c r="E9" s="30" t="s">
        <v>211</v>
      </c>
    </row>
    <row r="10" customFormat="false" ht="91" hidden="false" customHeight="false" outlineLevel="0" collapsed="false">
      <c r="A10" s="15" t="s">
        <v>212</v>
      </c>
      <c r="B10" s="28" t="n">
        <v>220</v>
      </c>
      <c r="C10" s="16" t="s">
        <v>210</v>
      </c>
      <c r="D10" s="31" t="s">
        <v>213</v>
      </c>
      <c r="E10" s="30" t="s">
        <v>214</v>
      </c>
    </row>
    <row r="11" customFormat="false" ht="35.05" hidden="false" customHeight="false" outlineLevel="0" collapsed="false">
      <c r="A11" s="15" t="s">
        <v>215</v>
      </c>
      <c r="B11" s="28"/>
      <c r="C11" s="16" t="s">
        <v>210</v>
      </c>
      <c r="D11" s="31" t="s">
        <v>216</v>
      </c>
      <c r="E11" s="30" t="s">
        <v>217</v>
      </c>
    </row>
    <row r="12" customFormat="false" ht="23.85" hidden="false" customHeight="false" outlineLevel="0" collapsed="false">
      <c r="A12" s="15" t="s">
        <v>218</v>
      </c>
      <c r="B12" s="28" t="n">
        <v>16</v>
      </c>
      <c r="C12" s="16" t="s">
        <v>219</v>
      </c>
      <c r="D12" s="31" t="s">
        <v>199</v>
      </c>
      <c r="E12" s="30" t="s">
        <v>220</v>
      </c>
    </row>
    <row r="13" customFormat="false" ht="23.85" hidden="false" customHeight="false" outlineLevel="0" collapsed="false">
      <c r="A13" s="15" t="s">
        <v>221</v>
      </c>
      <c r="B13" s="28" t="n">
        <v>17</v>
      </c>
      <c r="C13" s="16" t="s">
        <v>222</v>
      </c>
      <c r="D13" s="32" t="s">
        <v>223</v>
      </c>
      <c r="E13" s="30" t="s">
        <v>224</v>
      </c>
    </row>
    <row r="14" customFormat="false" ht="23.85" hidden="false" customHeight="false" outlineLevel="0" collapsed="false">
      <c r="A14" s="15" t="s">
        <v>225</v>
      </c>
      <c r="B14" s="28" t="n">
        <v>86.9</v>
      </c>
      <c r="C14" s="16" t="s">
        <v>226</v>
      </c>
      <c r="D14" s="31" t="s">
        <v>199</v>
      </c>
      <c r="E14" s="30" t="s">
        <v>227</v>
      </c>
    </row>
    <row r="15" customFormat="false" ht="35.05" hidden="false" customHeight="false" outlineLevel="0" collapsed="false">
      <c r="A15" s="15" t="s">
        <v>228</v>
      </c>
      <c r="B15" s="28" t="n">
        <v>13.95</v>
      </c>
      <c r="C15" s="16" t="s">
        <v>229</v>
      </c>
      <c r="D15" s="32" t="s">
        <v>230</v>
      </c>
      <c r="E15" s="30" t="s">
        <v>231</v>
      </c>
    </row>
    <row r="16" customFormat="false" ht="23.85" hidden="false" customHeight="false" outlineLevel="0" collapsed="false">
      <c r="A16" s="15" t="s">
        <v>232</v>
      </c>
      <c r="B16" s="28" t="n">
        <v>3.3</v>
      </c>
      <c r="C16" s="16" t="s">
        <v>229</v>
      </c>
      <c r="D16" s="31" t="s">
        <v>199</v>
      </c>
      <c r="E16" s="30" t="s">
        <v>233</v>
      </c>
    </row>
    <row r="17" customFormat="false" ht="23.85" hidden="false" customHeight="false" outlineLevel="0" collapsed="false">
      <c r="A17" s="15" t="s">
        <v>234</v>
      </c>
      <c r="B17" s="28" t="n">
        <v>3.6</v>
      </c>
      <c r="C17" s="16" t="s">
        <v>235</v>
      </c>
      <c r="D17" s="31" t="s">
        <v>216</v>
      </c>
      <c r="E17" s="30" t="s">
        <v>236</v>
      </c>
    </row>
    <row r="18" customFormat="false" ht="35.05" hidden="false" customHeight="false" outlineLevel="0" collapsed="false">
      <c r="A18" s="15" t="s">
        <v>237</v>
      </c>
      <c r="B18" s="28" t="n">
        <v>30</v>
      </c>
      <c r="C18" s="16" t="s">
        <v>238</v>
      </c>
      <c r="D18" s="32" t="s">
        <v>203</v>
      </c>
      <c r="E18" s="30" t="s">
        <v>239</v>
      </c>
    </row>
    <row r="19" customFormat="false" ht="23.85" hidden="false" customHeight="false" outlineLevel="0" collapsed="false">
      <c r="A19" s="15" t="s">
        <v>240</v>
      </c>
      <c r="B19" s="28" t="n">
        <v>9.8</v>
      </c>
      <c r="C19" s="16" t="s">
        <v>222</v>
      </c>
      <c r="D19" s="32" t="s">
        <v>241</v>
      </c>
      <c r="E19" s="30" t="s">
        <v>242</v>
      </c>
    </row>
    <row r="20" customFormat="false" ht="35.05" hidden="false" customHeight="false" outlineLevel="0" collapsed="false">
      <c r="A20" s="15" t="s">
        <v>243</v>
      </c>
      <c r="B20" s="28" t="n">
        <v>31.2</v>
      </c>
      <c r="C20" s="16" t="s">
        <v>222</v>
      </c>
      <c r="D20" s="31" t="s">
        <v>199</v>
      </c>
      <c r="E20" s="30" t="s">
        <v>244</v>
      </c>
    </row>
    <row r="21" customFormat="false" ht="35.05" hidden="false" customHeight="false" outlineLevel="0" collapsed="false">
      <c r="A21" s="15" t="s">
        <v>245</v>
      </c>
      <c r="B21" s="28"/>
      <c r="C21" s="16" t="s">
        <v>222</v>
      </c>
      <c r="D21" s="31" t="s">
        <v>199</v>
      </c>
      <c r="E21" s="30" t="s">
        <v>246</v>
      </c>
    </row>
    <row r="22" customFormat="false" ht="35.05" hidden="false" customHeight="false" outlineLevel="0" collapsed="false">
      <c r="A22" s="15" t="s">
        <v>247</v>
      </c>
      <c r="B22" s="28" t="n">
        <v>35</v>
      </c>
      <c r="C22" s="16" t="s">
        <v>238</v>
      </c>
      <c r="D22" s="31" t="s">
        <v>248</v>
      </c>
      <c r="E22" s="30" t="s">
        <v>249</v>
      </c>
    </row>
    <row r="23" customFormat="false" ht="23.85" hidden="false" customHeight="false" outlineLevel="0" collapsed="false">
      <c r="A23" s="15" t="s">
        <v>250</v>
      </c>
      <c r="B23" s="28" t="n">
        <v>8</v>
      </c>
      <c r="C23" s="16" t="s">
        <v>251</v>
      </c>
      <c r="D23" s="31" t="s">
        <v>199</v>
      </c>
      <c r="E23" s="30" t="s">
        <v>252</v>
      </c>
    </row>
    <row r="24" customFormat="false" ht="79.85" hidden="false" customHeight="false" outlineLevel="0" collapsed="false">
      <c r="A24" s="15" t="s">
        <v>253</v>
      </c>
      <c r="B24" s="28" t="n">
        <v>21.9</v>
      </c>
      <c r="C24" s="16" t="s">
        <v>254</v>
      </c>
      <c r="D24" s="31" t="s">
        <v>255</v>
      </c>
      <c r="E24" s="30" t="s">
        <v>256</v>
      </c>
    </row>
    <row r="25" customFormat="false" ht="57.45" hidden="false" customHeight="false" outlineLevel="0" collapsed="false">
      <c r="A25" s="15" t="s">
        <v>257</v>
      </c>
      <c r="B25" s="28" t="n">
        <v>31</v>
      </c>
      <c r="C25" s="16" t="s">
        <v>254</v>
      </c>
      <c r="D25" s="32" t="s">
        <v>203</v>
      </c>
      <c r="E25" s="30" t="s">
        <v>258</v>
      </c>
    </row>
    <row r="26" customFormat="false" ht="46.25" hidden="false" customHeight="false" outlineLevel="0" collapsed="false">
      <c r="A26" s="15" t="s">
        <v>259</v>
      </c>
      <c r="B26" s="28" t="n">
        <v>48.36</v>
      </c>
      <c r="C26" s="16" t="s">
        <v>254</v>
      </c>
      <c r="D26" s="31" t="s">
        <v>199</v>
      </c>
      <c r="E26" s="30" t="s">
        <v>260</v>
      </c>
    </row>
    <row r="27" customFormat="false" ht="46.25" hidden="false" customHeight="false" outlineLevel="0" collapsed="false">
      <c r="A27" s="15" t="s">
        <v>261</v>
      </c>
      <c r="B27" s="28" t="n">
        <v>33.52</v>
      </c>
      <c r="C27" s="16" t="s">
        <v>254</v>
      </c>
      <c r="D27" s="31" t="s">
        <v>199</v>
      </c>
      <c r="E27" s="30" t="s">
        <v>262</v>
      </c>
    </row>
    <row r="28" customFormat="false" ht="68.65" hidden="false" customHeight="false" outlineLevel="0" collapsed="false">
      <c r="A28" s="15" t="s">
        <v>263</v>
      </c>
      <c r="B28" s="28"/>
      <c r="C28" s="16" t="s">
        <v>254</v>
      </c>
      <c r="D28" s="32" t="s">
        <v>264</v>
      </c>
      <c r="E28" s="30" t="s">
        <v>265</v>
      </c>
    </row>
    <row r="29" customFormat="false" ht="23.85" hidden="false" customHeight="false" outlineLevel="0" collapsed="false">
      <c r="A29" s="15" t="s">
        <v>266</v>
      </c>
      <c r="B29" s="28" t="n">
        <v>12.95</v>
      </c>
      <c r="C29" s="16" t="s">
        <v>267</v>
      </c>
      <c r="D29" s="31" t="s">
        <v>199</v>
      </c>
      <c r="E29" s="30" t="s">
        <v>268</v>
      </c>
    </row>
    <row r="30" customFormat="false" ht="68.65" hidden="false" customHeight="false" outlineLevel="0" collapsed="false">
      <c r="A30" s="15" t="s">
        <v>269</v>
      </c>
      <c r="B30" s="28" t="n">
        <v>8</v>
      </c>
      <c r="C30" s="16" t="s">
        <v>270</v>
      </c>
      <c r="D30" s="31" t="s">
        <v>271</v>
      </c>
      <c r="E30" s="30" t="s">
        <v>272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76"/>
  </cols>
  <sheetData>
    <row r="1" customFormat="false" ht="17.35" hidden="false" customHeight="false" outlineLevel="0" collapsed="false">
      <c r="A1" s="1" t="s">
        <v>273</v>
      </c>
      <c r="B1" s="1"/>
      <c r="C1" s="1"/>
      <c r="D1" s="1"/>
    </row>
    <row r="3" customFormat="false" ht="15" hidden="false" customHeight="false" outlineLevel="0" collapsed="false">
      <c r="A3" s="33" t="s">
        <v>274</v>
      </c>
      <c r="B3" s="33" t="s">
        <v>275</v>
      </c>
      <c r="C3" s="33" t="s">
        <v>276</v>
      </c>
      <c r="D3" s="33" t="s">
        <v>277</v>
      </c>
    </row>
    <row r="4" customFormat="false" ht="35.05" hidden="false" customHeight="false" outlineLevel="0" collapsed="false">
      <c r="A4" s="15" t="s">
        <v>278</v>
      </c>
      <c r="B4" s="16" t="s">
        <v>279</v>
      </c>
      <c r="C4" s="16" t="s">
        <v>280</v>
      </c>
      <c r="D4" s="30" t="s">
        <v>281</v>
      </c>
    </row>
    <row r="5" customFormat="false" ht="46.25" hidden="false" customHeight="false" outlineLevel="0" collapsed="false">
      <c r="A5" s="15" t="s">
        <v>282</v>
      </c>
      <c r="B5" s="16" t="s">
        <v>279</v>
      </c>
      <c r="C5" s="16" t="s">
        <v>283</v>
      </c>
      <c r="D5" s="30" t="s">
        <v>284</v>
      </c>
    </row>
    <row r="6" customFormat="false" ht="23.85" hidden="false" customHeight="false" outlineLevel="0" collapsed="false">
      <c r="A6" s="15" t="s">
        <v>285</v>
      </c>
      <c r="B6" s="16" t="s">
        <v>279</v>
      </c>
      <c r="C6" s="16" t="s">
        <v>286</v>
      </c>
      <c r="D6" s="30" t="s">
        <v>287</v>
      </c>
    </row>
    <row r="7" customFormat="false" ht="15" hidden="false" customHeight="false" outlineLevel="0" collapsed="false">
      <c r="A7" s="15" t="s">
        <v>288</v>
      </c>
      <c r="B7" s="16" t="s">
        <v>289</v>
      </c>
      <c r="C7" s="16" t="s">
        <v>290</v>
      </c>
      <c r="D7" s="30" t="s">
        <v>291</v>
      </c>
    </row>
    <row r="8" customFormat="false" ht="23.85" hidden="false" customHeight="false" outlineLevel="0" collapsed="false">
      <c r="A8" s="15" t="s">
        <v>292</v>
      </c>
      <c r="B8" s="16" t="s">
        <v>289</v>
      </c>
      <c r="C8" s="16" t="s">
        <v>293</v>
      </c>
      <c r="D8" s="30" t="s">
        <v>294</v>
      </c>
    </row>
    <row r="9" customFormat="false" ht="23.85" hidden="false" customHeight="false" outlineLevel="0" collapsed="false">
      <c r="A9" s="15" t="s">
        <v>295</v>
      </c>
      <c r="B9" s="16" t="s">
        <v>296</v>
      </c>
      <c r="C9" s="16" t="s">
        <v>297</v>
      </c>
      <c r="D9" s="30" t="s">
        <v>298</v>
      </c>
    </row>
    <row r="10" customFormat="false" ht="15" hidden="false" customHeight="false" outlineLevel="0" collapsed="false">
      <c r="A10" s="15" t="s">
        <v>299</v>
      </c>
      <c r="B10" s="16" t="s">
        <v>296</v>
      </c>
      <c r="C10" s="16" t="s">
        <v>300</v>
      </c>
      <c r="D10" s="30" t="s">
        <v>301</v>
      </c>
    </row>
    <row r="11" customFormat="false" ht="23.85" hidden="false" customHeight="false" outlineLevel="0" collapsed="false">
      <c r="A11" s="15" t="s">
        <v>302</v>
      </c>
      <c r="B11" s="16" t="s">
        <v>303</v>
      </c>
      <c r="C11" s="16" t="s">
        <v>304</v>
      </c>
      <c r="D11" s="30" t="s">
        <v>305</v>
      </c>
    </row>
    <row r="12" customFormat="false" ht="15" hidden="false" customHeight="false" outlineLevel="0" collapsed="false">
      <c r="A12" s="15" t="s">
        <v>306</v>
      </c>
      <c r="B12" s="16" t="s">
        <v>307</v>
      </c>
      <c r="C12" s="16" t="s">
        <v>308</v>
      </c>
      <c r="D12" s="30" t="s">
        <v>309</v>
      </c>
    </row>
    <row r="13" customFormat="false" ht="15" hidden="false" customHeight="false" outlineLevel="0" collapsed="false">
      <c r="A13" s="25" t="s">
        <v>310</v>
      </c>
    </row>
    <row r="14" customFormat="false" ht="15" hidden="false" customHeight="false" outlineLevel="0" collapsed="false">
      <c r="A14" s="26" t="s">
        <v>311</v>
      </c>
      <c r="B14" s="26"/>
      <c r="C14" s="26"/>
      <c r="D14" s="26"/>
    </row>
    <row r="15" customFormat="false" ht="15" hidden="false" customHeight="false" outlineLevel="0" collapsed="false">
      <c r="A15" s="26" t="s">
        <v>312</v>
      </c>
      <c r="B15" s="26"/>
      <c r="C15" s="26"/>
      <c r="D15" s="26"/>
    </row>
    <row r="16" customFormat="false" ht="15" hidden="false" customHeight="false" outlineLevel="0" collapsed="false">
      <c r="A16" s="26" t="s">
        <v>313</v>
      </c>
      <c r="B16" s="26"/>
      <c r="C16" s="26"/>
      <c r="D16" s="26"/>
    </row>
    <row r="17" customFormat="false" ht="15" hidden="false" customHeight="false" outlineLevel="0" collapsed="false">
      <c r="A17" s="26" t="s">
        <v>314</v>
      </c>
      <c r="B17" s="26"/>
      <c r="C17" s="26"/>
      <c r="D17" s="26"/>
    </row>
    <row r="18" customFormat="false" ht="15" hidden="false" customHeight="false" outlineLevel="0" collapsed="false">
      <c r="A18" s="26" t="s">
        <v>315</v>
      </c>
      <c r="B18" s="26"/>
      <c r="C18" s="26"/>
      <c r="D18" s="26"/>
    </row>
    <row r="19" customFormat="false" ht="15" hidden="false" customHeight="false" outlineLevel="0" collapsed="false">
      <c r="A19" s="26" t="s">
        <v>316</v>
      </c>
      <c r="B19" s="26"/>
      <c r="C19" s="26"/>
      <c r="D19" s="26"/>
    </row>
    <row r="20" customFormat="false" ht="15" hidden="false" customHeight="false" outlineLevel="0" collapsed="false">
      <c r="A20" s="20" t="s">
        <v>317</v>
      </c>
    </row>
  </sheetData>
  <mergeCells count="7">
    <mergeCell ref="A1:D1"/>
    <mergeCell ref="A14:D14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9"/>
    <col collapsed="false" customWidth="true" hidden="false" outlineLevel="0" max="6" min="6" style="0" width="72"/>
  </cols>
  <sheetData>
    <row r="1" customFormat="false" ht="17.35" hidden="false" customHeight="false" outlineLevel="0" collapsed="false">
      <c r="A1" s="1" t="s">
        <v>318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319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185</v>
      </c>
      <c r="B4" s="3" t="s">
        <v>186</v>
      </c>
      <c r="C4" s="3" t="s">
        <v>320</v>
      </c>
      <c r="D4" s="3" t="s">
        <v>321</v>
      </c>
      <c r="E4" s="3" t="s">
        <v>188</v>
      </c>
      <c r="F4" s="3" t="s">
        <v>189</v>
      </c>
    </row>
    <row r="5" customFormat="false" ht="35.05" hidden="false" customHeight="false" outlineLevel="0" collapsed="false">
      <c r="A5" s="15" t="s">
        <v>322</v>
      </c>
      <c r="B5" s="34" t="n">
        <v>379</v>
      </c>
      <c r="C5" s="35" t="s">
        <v>17</v>
      </c>
      <c r="D5" s="35" t="s">
        <v>323</v>
      </c>
      <c r="E5" s="29" t="s">
        <v>324</v>
      </c>
      <c r="F5" s="30" t="s">
        <v>325</v>
      </c>
    </row>
    <row r="6" customFormat="false" ht="23.85" hidden="false" customHeight="false" outlineLevel="0" collapsed="false">
      <c r="A6" s="15" t="s">
        <v>326</v>
      </c>
      <c r="B6" s="34" t="n">
        <v>45</v>
      </c>
      <c r="C6" s="35" t="s">
        <v>156</v>
      </c>
      <c r="D6" s="35" t="s">
        <v>156</v>
      </c>
      <c r="E6" s="29" t="s">
        <v>327</v>
      </c>
      <c r="F6" s="30" t="s">
        <v>328</v>
      </c>
    </row>
    <row r="7" customFormat="false" ht="35.05" hidden="false" customHeight="false" outlineLevel="0" collapsed="false">
      <c r="A7" s="15" t="s">
        <v>329</v>
      </c>
      <c r="B7" s="34" t="n">
        <v>259</v>
      </c>
      <c r="C7" s="35" t="s">
        <v>199</v>
      </c>
      <c r="D7" s="35" t="s">
        <v>323</v>
      </c>
      <c r="E7" s="32" t="s">
        <v>330</v>
      </c>
      <c r="F7" s="30" t="s">
        <v>331</v>
      </c>
    </row>
    <row r="8" customFormat="false" ht="23.85" hidden="false" customHeight="false" outlineLevel="0" collapsed="false">
      <c r="A8" s="15" t="s">
        <v>332</v>
      </c>
      <c r="B8" s="34" t="n">
        <v>189</v>
      </c>
      <c r="C8" s="35" t="s">
        <v>199</v>
      </c>
      <c r="D8" s="35" t="s">
        <v>333</v>
      </c>
      <c r="E8" s="31" t="s">
        <v>334</v>
      </c>
      <c r="F8" s="36" t="s">
        <v>335</v>
      </c>
    </row>
    <row r="9" customFormat="false" ht="23.85" hidden="false" customHeight="false" outlineLevel="0" collapsed="false">
      <c r="A9" s="15" t="s">
        <v>336</v>
      </c>
      <c r="B9" s="34" t="n">
        <v>379</v>
      </c>
      <c r="C9" s="35" t="s">
        <v>17</v>
      </c>
      <c r="D9" s="35" t="s">
        <v>323</v>
      </c>
      <c r="E9" s="32" t="s">
        <v>337</v>
      </c>
      <c r="F9" s="30" t="s">
        <v>338</v>
      </c>
    </row>
    <row r="10" customFormat="false" ht="23.85" hidden="false" customHeight="false" outlineLevel="0" collapsed="false">
      <c r="A10" s="15" t="s">
        <v>339</v>
      </c>
      <c r="B10" s="34" t="n">
        <v>519</v>
      </c>
      <c r="C10" s="35" t="s">
        <v>17</v>
      </c>
      <c r="D10" s="35" t="s">
        <v>323</v>
      </c>
      <c r="E10" s="31" t="s">
        <v>340</v>
      </c>
      <c r="F10" s="30" t="s">
        <v>341</v>
      </c>
    </row>
    <row r="11" customFormat="false" ht="23.85" hidden="false" customHeight="false" outlineLevel="0" collapsed="false">
      <c r="A11" s="15" t="s">
        <v>342</v>
      </c>
      <c r="B11" s="34" t="n">
        <v>719</v>
      </c>
      <c r="C11" s="35" t="s">
        <v>343</v>
      </c>
      <c r="D11" s="35" t="s">
        <v>344</v>
      </c>
      <c r="E11" s="32" t="s">
        <v>345</v>
      </c>
      <c r="F11" s="30" t="s">
        <v>346</v>
      </c>
    </row>
    <row r="12" customFormat="false" ht="46.25" hidden="false" customHeight="false" outlineLevel="0" collapsed="false">
      <c r="A12" s="15" t="s">
        <v>347</v>
      </c>
      <c r="B12" s="34" t="n">
        <v>110</v>
      </c>
      <c r="C12" s="35" t="s">
        <v>156</v>
      </c>
      <c r="D12" s="35" t="s">
        <v>156</v>
      </c>
      <c r="E12" s="31" t="s">
        <v>199</v>
      </c>
      <c r="F12" s="36" t="s">
        <v>348</v>
      </c>
    </row>
    <row r="13" customFormat="false" ht="35.05" hidden="false" customHeight="false" outlineLevel="0" collapsed="false">
      <c r="A13" s="15" t="s">
        <v>349</v>
      </c>
      <c r="B13" s="34" t="n">
        <v>115</v>
      </c>
      <c r="C13" s="35" t="s">
        <v>156</v>
      </c>
      <c r="D13" s="35" t="s">
        <v>156</v>
      </c>
      <c r="E13" s="32" t="s">
        <v>350</v>
      </c>
      <c r="F13" s="36" t="s">
        <v>351</v>
      </c>
    </row>
    <row r="15" customFormat="false" ht="15" hidden="false" customHeight="false" outlineLevel="0" collapsed="false">
      <c r="A15" s="12" t="s">
        <v>352</v>
      </c>
      <c r="B15" s="13" t="n">
        <f aca="false">B5+B6</f>
        <v>424</v>
      </c>
    </row>
    <row r="17" customFormat="false" ht="15" hidden="false" customHeight="false" outlineLevel="0" collapsed="false">
      <c r="A17" s="25" t="s">
        <v>353</v>
      </c>
    </row>
    <row r="18" customFormat="false" ht="23.85" hidden="false" customHeight="true" outlineLevel="0" collapsed="false">
      <c r="A18" s="37" t="s">
        <v>354</v>
      </c>
      <c r="B18" s="37"/>
      <c r="C18" s="37"/>
      <c r="D18" s="37"/>
      <c r="E18" s="37"/>
      <c r="F18" s="37"/>
    </row>
    <row r="19" customFormat="false" ht="15" hidden="false" customHeight="true" outlineLevel="0" collapsed="false">
      <c r="A19" s="37" t="s">
        <v>355</v>
      </c>
      <c r="B19" s="37"/>
      <c r="C19" s="37"/>
      <c r="D19" s="37"/>
      <c r="E19" s="37"/>
      <c r="F19" s="37"/>
    </row>
    <row r="20" customFormat="false" ht="15" hidden="false" customHeight="true" outlineLevel="0" collapsed="false">
      <c r="A20" s="37" t="s">
        <v>356</v>
      </c>
      <c r="B20" s="37"/>
      <c r="C20" s="37"/>
      <c r="D20" s="37"/>
      <c r="E20" s="37"/>
      <c r="F20" s="37"/>
    </row>
    <row r="21" customFormat="false" ht="15" hidden="false" customHeight="true" outlineLevel="0" collapsed="false">
      <c r="A21" s="37" t="s">
        <v>357</v>
      </c>
      <c r="B21" s="37"/>
      <c r="C21" s="37"/>
      <c r="D21" s="37"/>
      <c r="E21" s="37"/>
      <c r="F21" s="37"/>
    </row>
    <row r="22" customFormat="false" ht="15" hidden="false" customHeight="true" outlineLevel="0" collapsed="false">
      <c r="A22" s="37" t="s">
        <v>358</v>
      </c>
      <c r="B22" s="37"/>
      <c r="C22" s="37"/>
      <c r="D22" s="37"/>
      <c r="E22" s="37"/>
      <c r="F22" s="37"/>
    </row>
    <row r="23" customFormat="false" ht="15" hidden="false" customHeight="true" outlineLevel="0" collapsed="false">
      <c r="A23" s="37" t="s">
        <v>359</v>
      </c>
      <c r="B23" s="37"/>
      <c r="C23" s="37"/>
      <c r="D23" s="37"/>
      <c r="E23" s="37"/>
      <c r="F23" s="37"/>
    </row>
    <row r="24" customFormat="false" ht="15" hidden="false" customHeight="false" outlineLevel="0" collapsed="false">
      <c r="A24" s="37"/>
      <c r="B24" s="37"/>
      <c r="C24" s="37"/>
      <c r="D24" s="37"/>
      <c r="E24" s="37"/>
      <c r="F24" s="37"/>
    </row>
    <row r="25" customFormat="false" ht="15" hidden="false" customHeight="false" outlineLevel="0" collapsed="false">
      <c r="A25" s="38" t="s">
        <v>360</v>
      </c>
      <c r="B25" s="38"/>
      <c r="C25" s="38"/>
      <c r="D25" s="38"/>
      <c r="E25" s="38"/>
      <c r="F25" s="38"/>
    </row>
    <row r="26" customFormat="false" ht="15" hidden="false" customHeight="true" outlineLevel="0" collapsed="false">
      <c r="A26" s="37" t="s">
        <v>361</v>
      </c>
      <c r="B26" s="37"/>
      <c r="C26" s="37"/>
      <c r="D26" s="37"/>
      <c r="E26" s="37"/>
      <c r="F26" s="37"/>
    </row>
    <row r="27" customFormat="false" ht="15" hidden="false" customHeight="true" outlineLevel="0" collapsed="false">
      <c r="A27" s="37" t="s">
        <v>362</v>
      </c>
      <c r="B27" s="37"/>
      <c r="C27" s="37"/>
      <c r="D27" s="37"/>
      <c r="E27" s="37"/>
      <c r="F27" s="37"/>
    </row>
    <row r="28" customFormat="false" ht="15" hidden="false" customHeight="true" outlineLevel="0" collapsed="false">
      <c r="A28" s="37" t="s">
        <v>363</v>
      </c>
      <c r="B28" s="37"/>
      <c r="C28" s="37"/>
      <c r="D28" s="37"/>
      <c r="E28" s="37"/>
      <c r="F28" s="37"/>
    </row>
    <row r="29" customFormat="false" ht="15" hidden="false" customHeight="true" outlineLevel="0" collapsed="false">
      <c r="A29" s="37" t="s">
        <v>364</v>
      </c>
      <c r="B29" s="37"/>
      <c r="C29" s="37"/>
      <c r="D29" s="37"/>
      <c r="E29" s="37"/>
      <c r="F29" s="37"/>
    </row>
    <row r="30" customFormat="false" ht="15" hidden="false" customHeight="true" outlineLevel="0" collapsed="false">
      <c r="A30" s="37" t="s">
        <v>365</v>
      </c>
      <c r="B30" s="37"/>
      <c r="C30" s="37"/>
      <c r="D30" s="37"/>
      <c r="E30" s="37"/>
      <c r="F30" s="37"/>
    </row>
  </sheetData>
  <mergeCells count="15">
    <mergeCell ref="A1:F1"/>
    <mergeCell ref="A2:F2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88"/>
  </cols>
  <sheetData>
    <row r="1" customFormat="false" ht="17.35" hidden="false" customHeight="false" outlineLevel="0" collapsed="false">
      <c r="A1" s="1" t="s">
        <v>366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367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185</v>
      </c>
      <c r="B4" s="3" t="s">
        <v>186</v>
      </c>
      <c r="C4" s="3" t="s">
        <v>368</v>
      </c>
      <c r="D4" s="3" t="s">
        <v>369</v>
      </c>
    </row>
    <row r="5" customFormat="false" ht="35.05" hidden="false" customHeight="false" outlineLevel="0" collapsed="false">
      <c r="A5" s="15" t="s">
        <v>370</v>
      </c>
      <c r="B5" s="34" t="n">
        <v>30</v>
      </c>
      <c r="C5" s="29" t="s">
        <v>371</v>
      </c>
      <c r="D5" s="36" t="s">
        <v>372</v>
      </c>
    </row>
    <row r="6" customFormat="false" ht="35.05" hidden="false" customHeight="false" outlineLevel="0" collapsed="false">
      <c r="A6" s="15" t="s">
        <v>373</v>
      </c>
      <c r="B6" s="34" t="n">
        <v>14</v>
      </c>
      <c r="C6" s="29" t="s">
        <v>371</v>
      </c>
      <c r="D6" s="36" t="s">
        <v>374</v>
      </c>
    </row>
    <row r="7" customFormat="false" ht="15" hidden="false" customHeight="false" outlineLevel="0" collapsed="false">
      <c r="A7" s="15" t="s">
        <v>375</v>
      </c>
      <c r="B7" s="34" t="n">
        <v>8</v>
      </c>
      <c r="C7" s="29" t="s">
        <v>371</v>
      </c>
      <c r="D7" s="30" t="s">
        <v>376</v>
      </c>
    </row>
    <row r="8" customFormat="false" ht="15" hidden="false" customHeight="false" outlineLevel="0" collapsed="false">
      <c r="A8" s="15" t="s">
        <v>377</v>
      </c>
      <c r="B8" s="34" t="n">
        <v>6</v>
      </c>
      <c r="C8" s="29" t="s">
        <v>371</v>
      </c>
      <c r="D8" s="30" t="s">
        <v>378</v>
      </c>
    </row>
    <row r="9" customFormat="false" ht="23.85" hidden="false" customHeight="false" outlineLevel="0" collapsed="false">
      <c r="A9" s="15" t="s">
        <v>379</v>
      </c>
      <c r="B9" s="34" t="n">
        <v>5</v>
      </c>
      <c r="C9" s="29" t="s">
        <v>371</v>
      </c>
      <c r="D9" s="36" t="s">
        <v>380</v>
      </c>
    </row>
    <row r="10" customFormat="false" ht="15" hidden="false" customHeight="false" outlineLevel="0" collapsed="false">
      <c r="A10" s="15" t="s">
        <v>381</v>
      </c>
      <c r="B10" s="34" t="n">
        <v>10</v>
      </c>
      <c r="C10" s="29" t="s">
        <v>371</v>
      </c>
      <c r="D10" s="30" t="s">
        <v>382</v>
      </c>
    </row>
    <row r="11" customFormat="false" ht="15" hidden="false" customHeight="false" outlineLevel="0" collapsed="false">
      <c r="A11" s="15" t="s">
        <v>383</v>
      </c>
      <c r="B11" s="34" t="n">
        <v>8</v>
      </c>
      <c r="C11" s="29" t="s">
        <v>371</v>
      </c>
      <c r="D11" s="30" t="s">
        <v>384</v>
      </c>
    </row>
    <row r="12" customFormat="false" ht="15" hidden="false" customHeight="false" outlineLevel="0" collapsed="false">
      <c r="A12" s="15" t="s">
        <v>385</v>
      </c>
      <c r="B12" s="34" t="n">
        <v>18</v>
      </c>
      <c r="C12" s="29" t="s">
        <v>371</v>
      </c>
      <c r="D12" s="30" t="s">
        <v>386</v>
      </c>
    </row>
    <row r="13" customFormat="false" ht="15" hidden="false" customHeight="false" outlineLevel="0" collapsed="false">
      <c r="A13" s="15" t="s">
        <v>387</v>
      </c>
      <c r="B13" s="34" t="n">
        <v>8</v>
      </c>
      <c r="C13" s="29" t="s">
        <v>371</v>
      </c>
      <c r="D13" s="36" t="s">
        <v>388</v>
      </c>
    </row>
    <row r="14" customFormat="false" ht="23.85" hidden="false" customHeight="false" outlineLevel="0" collapsed="false">
      <c r="A14" s="15" t="s">
        <v>389</v>
      </c>
      <c r="B14" s="34" t="n">
        <v>15</v>
      </c>
      <c r="C14" s="29" t="s">
        <v>371</v>
      </c>
      <c r="D14" s="36" t="s">
        <v>390</v>
      </c>
    </row>
    <row r="15" customFormat="false" ht="23.85" hidden="false" customHeight="false" outlineLevel="0" collapsed="false">
      <c r="A15" s="15" t="s">
        <v>391</v>
      </c>
      <c r="B15" s="34" t="n">
        <v>25</v>
      </c>
      <c r="C15" s="29" t="s">
        <v>371</v>
      </c>
      <c r="D15" s="30" t="s">
        <v>392</v>
      </c>
    </row>
    <row r="16" customFormat="false" ht="23.85" hidden="false" customHeight="false" outlineLevel="0" collapsed="false">
      <c r="A16" s="15" t="s">
        <v>393</v>
      </c>
      <c r="B16" s="34" t="n">
        <v>12</v>
      </c>
      <c r="C16" s="32" t="s">
        <v>394</v>
      </c>
      <c r="D16" s="30" t="s">
        <v>395</v>
      </c>
    </row>
    <row r="17" customFormat="false" ht="23.85" hidden="false" customHeight="false" outlineLevel="0" collapsed="false">
      <c r="A17" s="15" t="s">
        <v>396</v>
      </c>
      <c r="B17" s="34" t="n">
        <v>30</v>
      </c>
      <c r="C17" s="32" t="s">
        <v>397</v>
      </c>
      <c r="D17" s="30" t="s">
        <v>398</v>
      </c>
    </row>
    <row r="18" customFormat="false" ht="23.85" hidden="false" customHeight="false" outlineLevel="0" collapsed="false">
      <c r="A18" s="15" t="s">
        <v>399</v>
      </c>
      <c r="B18" s="34"/>
      <c r="C18" s="31" t="s">
        <v>400</v>
      </c>
      <c r="D18" s="36" t="s">
        <v>401</v>
      </c>
    </row>
    <row r="20" customFormat="false" ht="15" hidden="false" customHeight="false" outlineLevel="0" collapsed="false">
      <c r="A20" s="12" t="s">
        <v>402</v>
      </c>
      <c r="B20" s="13" t="n">
        <f aca="false">SUMIF(C5:C18,"SIM",B5:B18)</f>
        <v>147</v>
      </c>
    </row>
    <row r="22" customFormat="false" ht="15" hidden="false" customHeight="false" outlineLevel="0" collapsed="false">
      <c r="A22" s="25" t="s">
        <v>403</v>
      </c>
    </row>
    <row r="23" customFormat="false" ht="23.85" hidden="false" customHeight="true" outlineLevel="0" collapsed="false">
      <c r="A23" s="37" t="s">
        <v>404</v>
      </c>
      <c r="B23" s="37"/>
      <c r="C23" s="37"/>
      <c r="D23" s="37"/>
    </row>
    <row r="24" customFormat="false" ht="15" hidden="false" customHeight="false" outlineLevel="0" collapsed="false">
      <c r="A24" s="37"/>
      <c r="B24" s="37"/>
      <c r="C24" s="37"/>
      <c r="D24" s="37"/>
    </row>
    <row r="25" customFormat="false" ht="23.85" hidden="false" customHeight="true" outlineLevel="0" collapsed="false">
      <c r="A25" s="37" t="s">
        <v>405</v>
      </c>
      <c r="B25" s="37"/>
      <c r="C25" s="37"/>
      <c r="D25" s="37"/>
    </row>
    <row r="26" customFormat="false" ht="15" hidden="false" customHeight="false" outlineLevel="0" collapsed="false">
      <c r="A26" s="37"/>
      <c r="B26" s="37"/>
      <c r="C26" s="37"/>
      <c r="D26" s="37"/>
    </row>
    <row r="27" customFormat="false" ht="15" hidden="false" customHeight="true" outlineLevel="0" collapsed="false">
      <c r="A27" s="37" t="s">
        <v>406</v>
      </c>
      <c r="B27" s="37"/>
      <c r="C27" s="37"/>
      <c r="D27" s="37"/>
    </row>
    <row r="28" customFormat="false" ht="15" hidden="false" customHeight="true" outlineLevel="0" collapsed="false">
      <c r="A28" s="37" t="s">
        <v>407</v>
      </c>
      <c r="B28" s="37"/>
      <c r="C28" s="37"/>
      <c r="D28" s="37"/>
    </row>
    <row r="29" customFormat="false" ht="15" hidden="false" customHeight="true" outlineLevel="0" collapsed="false">
      <c r="A29" s="37" t="s">
        <v>408</v>
      </c>
      <c r="B29" s="37"/>
      <c r="C29" s="37"/>
      <c r="D29" s="37"/>
    </row>
    <row r="30" customFormat="false" ht="15" hidden="false" customHeight="true" outlineLevel="0" collapsed="false">
      <c r="A30" s="37" t="s">
        <v>409</v>
      </c>
      <c r="B30" s="37"/>
      <c r="C30" s="37"/>
      <c r="D30" s="37"/>
    </row>
    <row r="31" customFormat="false" ht="15" hidden="false" customHeight="false" outlineLevel="0" collapsed="false">
      <c r="A31" s="37"/>
      <c r="B31" s="37"/>
      <c r="C31" s="37"/>
      <c r="D31" s="37"/>
    </row>
    <row r="32" customFormat="false" ht="35.05" hidden="false" customHeight="true" outlineLevel="0" collapsed="false">
      <c r="A32" s="37" t="s">
        <v>410</v>
      </c>
      <c r="B32" s="37"/>
      <c r="C32" s="37"/>
      <c r="D32" s="37"/>
    </row>
    <row r="33" customFormat="false" ht="15" hidden="false" customHeight="false" outlineLevel="0" collapsed="false">
      <c r="A33" s="37"/>
      <c r="B33" s="37"/>
      <c r="C33" s="37"/>
      <c r="D33" s="37"/>
    </row>
    <row r="34" customFormat="false" ht="35.05" hidden="false" customHeight="true" outlineLevel="0" collapsed="false">
      <c r="A34" s="37" t="s">
        <v>411</v>
      </c>
      <c r="B34" s="37"/>
      <c r="C34" s="37"/>
      <c r="D34" s="37"/>
    </row>
    <row r="36" customFormat="false" ht="15" hidden="false" customHeight="false" outlineLevel="0" collapsed="false">
      <c r="A36" s="25" t="s">
        <v>412</v>
      </c>
    </row>
    <row r="37" customFormat="false" ht="15" hidden="false" customHeight="true" outlineLevel="0" collapsed="false">
      <c r="A37" s="37" t="s">
        <v>413</v>
      </c>
      <c r="B37" s="37"/>
      <c r="C37" s="37"/>
      <c r="D37" s="37"/>
    </row>
    <row r="38" customFormat="false" ht="23.85" hidden="false" customHeight="true" outlineLevel="0" collapsed="false">
      <c r="A38" s="37" t="s">
        <v>414</v>
      </c>
      <c r="B38" s="37"/>
      <c r="C38" s="37"/>
      <c r="D38" s="37"/>
    </row>
    <row r="39" customFormat="false" ht="15" hidden="false" customHeight="true" outlineLevel="0" collapsed="false">
      <c r="A39" s="37" t="s">
        <v>415</v>
      </c>
      <c r="B39" s="37"/>
      <c r="C39" s="37"/>
      <c r="D39" s="37"/>
    </row>
    <row r="40" customFormat="false" ht="15" hidden="false" customHeight="true" outlineLevel="0" collapsed="false">
      <c r="A40" s="37" t="s">
        <v>416</v>
      </c>
      <c r="B40" s="37"/>
      <c r="C40" s="37"/>
      <c r="D40" s="37"/>
    </row>
    <row r="41" customFormat="false" ht="15" hidden="false" customHeight="false" outlineLevel="0" collapsed="false">
      <c r="A41" s="37"/>
      <c r="B41" s="37"/>
      <c r="C41" s="37"/>
      <c r="D41" s="37"/>
    </row>
    <row r="42" customFormat="false" ht="15" hidden="false" customHeight="true" outlineLevel="0" collapsed="false">
      <c r="A42" s="37" t="s">
        <v>417</v>
      </c>
      <c r="B42" s="37"/>
      <c r="C42" s="37"/>
      <c r="D42" s="37"/>
    </row>
    <row r="43" customFormat="false" ht="15" hidden="false" customHeight="false" outlineLevel="0" collapsed="false">
      <c r="A43" s="37"/>
      <c r="B43" s="37"/>
      <c r="C43" s="37"/>
      <c r="D43" s="37"/>
    </row>
    <row r="44" customFormat="false" ht="23.85" hidden="false" customHeight="true" outlineLevel="0" collapsed="false">
      <c r="A44" s="37" t="s">
        <v>418</v>
      </c>
      <c r="B44" s="37"/>
      <c r="C44" s="37"/>
      <c r="D44" s="37"/>
    </row>
  </sheetData>
  <mergeCells count="22">
    <mergeCell ref="A1:E1"/>
    <mergeCell ref="A2:E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7:D37"/>
    <mergeCell ref="A38:D38"/>
    <mergeCell ref="A39:D39"/>
    <mergeCell ref="A40:D40"/>
    <mergeCell ref="A41:D41"/>
    <mergeCell ref="A42:D42"/>
    <mergeCell ref="A43:D43"/>
    <mergeCell ref="A44:D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2026-08-18T20:07:01Z</dcterms:created>
  <dc:creator>openpyxl</dc:creator>
  <dc:description/>
  <dc:language>en-US</dc:language>
  <cp:lastModifiedBy/>
  <dcterms:modified xsi:type="dcterms:W3CDTF">2026-08-25T12:24:22Z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